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2408493fc6c8681/Recherche/Bibliothèque/Outils/NORTH Horosc/Horosc Excel v1/"/>
    </mc:Choice>
  </mc:AlternateContent>
  <xr:revisionPtr revIDLastSave="9" documentId="8_{3B7499A3-8C47-4928-B3E8-4E1518305658}" xr6:coauthVersionLast="47" xr6:coauthVersionMax="47" xr10:uidLastSave="{18D7817C-2962-4704-B49C-EB96C57CE722}"/>
  <bookViews>
    <workbookView xWindow="-108" yWindow="-108" windowWidth="23256" windowHeight="13896" xr2:uid="{3042AFED-DB5B-477C-8FE9-7774F90FE69B}"/>
  </bookViews>
  <sheets>
    <sheet name="ARRAYS" sheetId="6" r:id="rId1"/>
    <sheet name="METHOD A" sheetId="1" r:id="rId2"/>
    <sheet name="METHOD B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7" i="2" l="1"/>
  <c r="B46" i="2"/>
  <c r="C33" i="2" a="1"/>
  <c r="O52" i="2" a="1"/>
  <c r="B72" i="2" a="1"/>
  <c r="B76" i="2" a="1"/>
  <c r="B75" i="2" a="1"/>
  <c r="B73" i="2" a="1"/>
  <c r="B74" i="2" a="1"/>
  <c r="B71" i="2" a="1"/>
  <c r="P46" i="2" a="1"/>
  <c r="N46" i="2" a="1"/>
  <c r="O47" i="2" a="1"/>
  <c r="O46" i="2" a="1"/>
  <c r="O45" i="2" a="1"/>
  <c r="B34" i="2" a="1"/>
  <c r="B36" i="2" a="1"/>
  <c r="B35" i="2" a="1"/>
  <c r="B37" i="2" a="1"/>
  <c r="B38" i="2" a="1"/>
  <c r="C34" i="2" a="1"/>
  <c r="C36" i="2" a="1"/>
  <c r="C38" i="2" a="1"/>
  <c r="C35" i="2" a="1"/>
  <c r="C37" i="2" a="1"/>
  <c r="E40" i="6" a="1"/>
  <c r="E75" i="2" a="1"/>
  <c r="I75" i="2" a="1"/>
  <c r="H75" i="2" a="1"/>
  <c r="F75" i="2" a="1"/>
  <c r="J74" i="2" a="1"/>
  <c r="G71" i="2" a="1"/>
  <c r="E55" i="2" a="1"/>
  <c r="G57" i="2" a="1"/>
  <c r="J57" i="2" a="1"/>
  <c r="H55" i="2" a="1"/>
  <c r="H53" i="2" a="1"/>
  <c r="E76" i="2" a="1"/>
  <c r="J75" i="2" a="1"/>
  <c r="I71" i="2" a="1"/>
  <c r="G55" i="2" a="1"/>
  <c r="I57" i="2" a="1"/>
  <c r="J55" i="2" a="1"/>
  <c r="J53" i="2" a="1"/>
  <c r="E54" i="2" a="1"/>
  <c r="D73" i="2" a="1"/>
  <c r="H58" i="2" a="1"/>
  <c r="I53" i="2" a="1"/>
  <c r="D72" i="2" a="1"/>
  <c r="F76" i="2" a="1"/>
  <c r="G75" i="2" a="1"/>
  <c r="I58" i="2" a="1"/>
  <c r="F72" i="2" a="1"/>
  <c r="H72" i="2" a="1"/>
  <c r="G72" i="2" a="1"/>
  <c r="I76" i="2" a="1"/>
  <c r="G76" i="2" a="1"/>
  <c r="D76" i="2" a="1"/>
  <c r="D71" i="2" a="1"/>
  <c r="I55" i="2" a="1"/>
  <c r="D58" i="2" a="1"/>
  <c r="E58" i="2" a="1"/>
  <c r="E56" i="2" a="1"/>
  <c r="F53" i="2" a="1"/>
  <c r="I72" i="2" a="1"/>
  <c r="E72" i="2" a="1"/>
  <c r="H76" i="2" a="1"/>
  <c r="J76" i="2" a="1"/>
  <c r="B48" i="2" a="1"/>
  <c r="D56" i="2" a="1"/>
  <c r="F58" i="2" a="1"/>
  <c r="G56" i="2" a="1"/>
  <c r="F73" i="2" a="1"/>
  <c r="D54" i="2" a="1"/>
  <c r="D57" i="2" a="1"/>
  <c r="D53" i="2" a="1"/>
  <c r="J72" i="2" a="1"/>
  <c r="G73" i="2" a="1"/>
  <c r="D74" i="2" a="1"/>
  <c r="J73" i="2" a="1"/>
  <c r="H73" i="2" a="1"/>
  <c r="E73" i="2" a="1"/>
  <c r="H71" i="2" a="1"/>
  <c r="F54" i="2" a="1"/>
  <c r="H56" i="2" a="1"/>
  <c r="J58" i="2" a="1"/>
  <c r="I54" i="2" a="1"/>
  <c r="H74" i="2" a="1"/>
  <c r="G74" i="2" a="1"/>
  <c r="E74" i="2" a="1"/>
  <c r="I73" i="2" a="1"/>
  <c r="J71" i="2" a="1"/>
  <c r="H54" i="2" a="1"/>
  <c r="J56" i="2" a="1"/>
  <c r="I56" i="2" a="1"/>
  <c r="D55" i="2" a="1"/>
  <c r="G58" i="2" a="1"/>
  <c r="D75" i="2" a="1"/>
  <c r="I74" i="2" a="1"/>
  <c r="F74" i="2" a="1"/>
  <c r="F71" i="2" a="1"/>
  <c r="J54" i="2" a="1"/>
  <c r="E57" i="2" a="1"/>
  <c r="F57" i="2" a="1"/>
  <c r="F55" i="2" a="1"/>
  <c r="E53" i="2" a="1"/>
  <c r="G53" i="2" a="1"/>
  <c r="E71" i="2" a="1"/>
  <c r="F56" i="2" a="1"/>
  <c r="G54" i="2" a="1"/>
  <c r="H57" i="2" a="1"/>
  <c r="C33" i="2" l="1"/>
  <c r="O52" i="2"/>
  <c r="B74" i="2"/>
  <c r="B73" i="2"/>
  <c r="B75" i="2"/>
  <c r="B76" i="2"/>
  <c r="B72" i="2"/>
  <c r="B71" i="2"/>
  <c r="P46" i="2"/>
  <c r="N46" i="2"/>
  <c r="O46" i="2"/>
  <c r="O47" i="2"/>
  <c r="O45" i="2"/>
  <c r="B38" i="2"/>
  <c r="B37" i="2"/>
  <c r="B35" i="2"/>
  <c r="B36" i="2"/>
  <c r="B34" i="2"/>
  <c r="C37" i="2"/>
  <c r="C35" i="2"/>
  <c r="C38" i="2"/>
  <c r="C36" i="2"/>
  <c r="C34" i="2"/>
  <c r="E40" i="6"/>
  <c r="J76" i="2"/>
  <c r="D76" i="2"/>
  <c r="G75" i="2"/>
  <c r="J74" i="2"/>
  <c r="F74" i="2"/>
  <c r="I73" i="2"/>
  <c r="E73" i="2"/>
  <c r="F72" i="2"/>
  <c r="H76" i="2"/>
  <c r="G76" i="2"/>
  <c r="J75" i="2"/>
  <c r="F75" i="2"/>
  <c r="I74" i="2"/>
  <c r="E74" i="2"/>
  <c r="H73" i="2"/>
  <c r="D73" i="2"/>
  <c r="E72" i="2"/>
  <c r="I76" i="2"/>
  <c r="E76" i="2"/>
  <c r="H75" i="2"/>
  <c r="D75" i="2"/>
  <c r="G74" i="2"/>
  <c r="J73" i="2"/>
  <c r="F73" i="2"/>
  <c r="I72" i="2"/>
  <c r="G72" i="2"/>
  <c r="F76" i="2"/>
  <c r="I75" i="2"/>
  <c r="E75" i="2"/>
  <c r="H74" i="2"/>
  <c r="D74" i="2"/>
  <c r="G73" i="2"/>
  <c r="J72" i="2"/>
  <c r="H72" i="2"/>
  <c r="D72" i="2"/>
  <c r="I71" i="2"/>
  <c r="G71" i="2"/>
  <c r="F71" i="2"/>
  <c r="J71" i="2"/>
  <c r="H71" i="2"/>
  <c r="E71" i="2"/>
  <c r="D71" i="2"/>
  <c r="B48" i="2"/>
  <c r="G58" i="2"/>
  <c r="H57" i="2"/>
  <c r="D57" i="2"/>
  <c r="G56" i="2"/>
  <c r="E56" i="2"/>
  <c r="J55" i="2"/>
  <c r="H55" i="2"/>
  <c r="F55" i="2"/>
  <c r="D55" i="2"/>
  <c r="I54" i="2"/>
  <c r="G54" i="2"/>
  <c r="E54" i="2"/>
  <c r="E58" i="2"/>
  <c r="I58" i="2"/>
  <c r="J57" i="2"/>
  <c r="F57" i="2"/>
  <c r="I56" i="2"/>
  <c r="J58" i="2"/>
  <c r="H58" i="2"/>
  <c r="F58" i="2"/>
  <c r="D58" i="2"/>
  <c r="I57" i="2"/>
  <c r="G57" i="2"/>
  <c r="E57" i="2"/>
  <c r="J56" i="2"/>
  <c r="H56" i="2"/>
  <c r="F56" i="2"/>
  <c r="D56" i="2"/>
  <c r="I55" i="2"/>
  <c r="G55" i="2"/>
  <c r="E55" i="2"/>
  <c r="J54" i="2"/>
  <c r="H54" i="2"/>
  <c r="F54" i="2"/>
  <c r="D54" i="2"/>
  <c r="I53" i="2"/>
  <c r="G53" i="2"/>
  <c r="F53" i="2"/>
  <c r="J53" i="2"/>
  <c r="H53" i="2"/>
  <c r="E53" i="2"/>
  <c r="D53" i="2"/>
  <c r="B33" i="2" a="1"/>
  <c r="N19" i="2" a="1"/>
  <c r="P19" i="2" a="1"/>
  <c r="F66" i="2" a="1"/>
  <c r="G67" i="2" a="1"/>
  <c r="J64" i="2" a="1"/>
  <c r="F62" i="2" a="1"/>
  <c r="G63" i="2" a="1"/>
  <c r="E16" i="6" a="1"/>
  <c r="C58" i="1" a="1"/>
  <c r="G60" i="1" a="1"/>
  <c r="I57" i="1" a="1"/>
  <c r="F60" i="1" a="1"/>
  <c r="H55" i="1" a="1"/>
  <c r="F49" i="1" a="1"/>
  <c r="E52" i="1" a="1"/>
  <c r="E49" i="1" a="1"/>
  <c r="I51" i="1" a="1"/>
  <c r="I47" i="1" a="1"/>
  <c r="F67" i="2" a="1"/>
  <c r="I63" i="2" a="1"/>
  <c r="D62" i="2" a="1"/>
  <c r="C56" i="1" a="1"/>
  <c r="H60" i="1" a="1"/>
  <c r="I52" i="1" a="1"/>
  <c r="F58" i="1" a="1"/>
  <c r="I58" i="1" a="1"/>
  <c r="D50" i="1" a="1"/>
  <c r="E65" i="2" a="1"/>
  <c r="E59" i="1" a="1"/>
  <c r="E66" i="2" a="1"/>
  <c r="D64" i="2" a="1"/>
  <c r="I67" i="2" a="1"/>
  <c r="E67" i="2" a="1"/>
  <c r="H67" i="2" a="1"/>
  <c r="E56" i="1" a="1"/>
  <c r="G58" i="1" a="1"/>
  <c r="C50" i="1" a="1"/>
  <c r="F52" i="1" a="1"/>
  <c r="D65" i="2" a="1"/>
  <c r="I65" i="2" a="1"/>
  <c r="J67" i="2" a="1"/>
  <c r="D67" i="2" a="1"/>
  <c r="G66" i="2" a="1"/>
  <c r="G56" i="1" a="1"/>
  <c r="H58" i="1" a="1"/>
  <c r="J63" i="2" a="1"/>
  <c r="J65" i="2" a="1"/>
  <c r="I66" i="2" a="1"/>
  <c r="I64" i="2" a="1"/>
  <c r="F65" i="2" a="1"/>
  <c r="I56" i="1" a="1"/>
  <c r="F59" i="1" a="1"/>
  <c r="H56" i="1" a="1"/>
  <c r="C59" i="1" a="1"/>
  <c r="D55" i="1" a="1"/>
  <c r="E48" i="1" a="1"/>
  <c r="G50" i="1" a="1"/>
  <c r="D48" i="1" a="1"/>
  <c r="F50" i="1" a="1"/>
  <c r="C52" i="1" a="1"/>
  <c r="C47" i="1" a="1"/>
  <c r="E62" i="2" a="1"/>
  <c r="F57" i="1" a="1"/>
  <c r="I59" i="1" a="1"/>
  <c r="I48" i="1" a="1"/>
  <c r="H48" i="1" a="1"/>
  <c r="E47" i="1" a="1"/>
  <c r="G49" i="1" a="1"/>
  <c r="D56" i="1" a="1"/>
  <c r="I49" i="1" a="1"/>
  <c r="C48" i="1" a="1"/>
  <c r="D47" i="1" a="1"/>
  <c r="G65" i="2" a="1"/>
  <c r="I62" i="2" a="1"/>
  <c r="H63" i="2" a="1"/>
  <c r="H65" i="2" a="1"/>
  <c r="G62" i="2" a="1"/>
  <c r="E64" i="2" a="1"/>
  <c r="D57" i="1" a="1"/>
  <c r="H59" i="1" a="1"/>
  <c r="C57" i="1" a="1"/>
  <c r="G59" i="1" a="1"/>
  <c r="E55" i="1" a="1"/>
  <c r="G48" i="1" a="1"/>
  <c r="D51" i="1" a="1"/>
  <c r="F48" i="1" a="1"/>
  <c r="H50" i="1" a="1"/>
  <c r="G52" i="1" a="1"/>
  <c r="H62" i="2" a="1"/>
  <c r="G64" i="2" a="1"/>
  <c r="D66" i="2" a="1"/>
  <c r="D63" i="2" a="1"/>
  <c r="C60" i="1" a="1"/>
  <c r="G55" i="1" a="1"/>
  <c r="F51" i="1" a="1"/>
  <c r="C51" i="1" a="1"/>
  <c r="H49" i="1" a="1"/>
  <c r="F47" i="1" a="1"/>
  <c r="C55" i="1" a="1"/>
  <c r="H52" i="1" a="1"/>
  <c r="F56" i="1" a="1"/>
  <c r="F64" i="2" a="1"/>
  <c r="E57" i="1" a="1"/>
  <c r="E51" i="1" a="1"/>
  <c r="E50" i="1" a="1"/>
  <c r="E63" i="2" a="1"/>
  <c r="H66" i="2" a="1"/>
  <c r="F63" i="2" a="1"/>
  <c r="H64" i="2" a="1"/>
  <c r="J62" i="2" a="1"/>
  <c r="H57" i="1" a="1"/>
  <c r="E60" i="1" a="1"/>
  <c r="G57" i="1" a="1"/>
  <c r="D60" i="1" a="1"/>
  <c r="I55" i="1" a="1"/>
  <c r="D49" i="1" a="1"/>
  <c r="H51" i="1" a="1"/>
  <c r="C49" i="1" a="1"/>
  <c r="G51" i="1" a="1"/>
  <c r="G47" i="1" a="1"/>
  <c r="J66" i="2" a="1"/>
  <c r="E58" i="1" a="1"/>
  <c r="D58" i="1" a="1"/>
  <c r="F55" i="1" a="1"/>
  <c r="D52" i="1" a="1"/>
  <c r="D59" i="1" a="1"/>
  <c r="H47" i="1" a="1"/>
  <c r="I60" i="1" a="1"/>
  <c r="I50" i="1" a="1"/>
  <c r="P19" i="2" l="1"/>
  <c r="N19" i="2"/>
  <c r="B33" i="2"/>
  <c r="J62" i="2"/>
  <c r="D63" i="2"/>
  <c r="E64" i="2"/>
  <c r="F65" i="2"/>
  <c r="G66" i="2"/>
  <c r="H67" i="2"/>
  <c r="J66" i="2"/>
  <c r="G63" i="2"/>
  <c r="H64" i="2"/>
  <c r="D66" i="2"/>
  <c r="G62" i="2"/>
  <c r="I64" i="2"/>
  <c r="D67" i="2"/>
  <c r="E67" i="2"/>
  <c r="D62" i="2"/>
  <c r="F62" i="2"/>
  <c r="F63" i="2"/>
  <c r="G64" i="2"/>
  <c r="H65" i="2"/>
  <c r="I66" i="2"/>
  <c r="J67" i="2"/>
  <c r="I67" i="2"/>
  <c r="I63" i="2"/>
  <c r="J64" i="2"/>
  <c r="H66" i="2"/>
  <c r="E62" i="2"/>
  <c r="H63" i="2"/>
  <c r="J65" i="2"/>
  <c r="I65" i="2"/>
  <c r="D64" i="2"/>
  <c r="E65" i="2"/>
  <c r="G67" i="2"/>
  <c r="H62" i="2"/>
  <c r="I62" i="2"/>
  <c r="J63" i="2"/>
  <c r="D65" i="2"/>
  <c r="E66" i="2"/>
  <c r="F67" i="2"/>
  <c r="F66" i="2"/>
  <c r="E63" i="2"/>
  <c r="F64" i="2"/>
  <c r="G65" i="2"/>
  <c r="I60" i="1"/>
  <c r="D59" i="1"/>
  <c r="H60" i="1"/>
  <c r="F60" i="1"/>
  <c r="D60" i="1"/>
  <c r="I59" i="1"/>
  <c r="G59" i="1"/>
  <c r="C59" i="1"/>
  <c r="H58" i="1"/>
  <c r="F58" i="1"/>
  <c r="D58" i="1"/>
  <c r="I57" i="1"/>
  <c r="G57" i="1"/>
  <c r="E57" i="1"/>
  <c r="C57" i="1"/>
  <c r="H56" i="1"/>
  <c r="F56" i="1"/>
  <c r="D56" i="1"/>
  <c r="E59" i="1"/>
  <c r="G60" i="1"/>
  <c r="E60" i="1"/>
  <c r="C60" i="1"/>
  <c r="H59" i="1"/>
  <c r="F59" i="1"/>
  <c r="I58" i="1"/>
  <c r="G58" i="1"/>
  <c r="E58" i="1"/>
  <c r="C58" i="1"/>
  <c r="H57" i="1"/>
  <c r="F57" i="1"/>
  <c r="D57" i="1"/>
  <c r="I56" i="1"/>
  <c r="G56" i="1"/>
  <c r="E56" i="1"/>
  <c r="C56" i="1"/>
  <c r="F55" i="1"/>
  <c r="H55" i="1"/>
  <c r="I55" i="1"/>
  <c r="G55" i="1"/>
  <c r="E55" i="1"/>
  <c r="D55" i="1"/>
  <c r="C55" i="1"/>
  <c r="G52" i="1"/>
  <c r="C52" i="1"/>
  <c r="I50" i="1"/>
  <c r="H52" i="1"/>
  <c r="D52" i="1"/>
  <c r="I51" i="1"/>
  <c r="G51" i="1"/>
  <c r="C51" i="1"/>
  <c r="H50" i="1"/>
  <c r="F50" i="1"/>
  <c r="D50" i="1"/>
  <c r="I49" i="1"/>
  <c r="G49" i="1"/>
  <c r="E49" i="1"/>
  <c r="C49" i="1"/>
  <c r="H48" i="1"/>
  <c r="F48" i="1"/>
  <c r="D48" i="1"/>
  <c r="F52" i="1"/>
  <c r="E51" i="1"/>
  <c r="I52" i="1"/>
  <c r="E52" i="1"/>
  <c r="H51" i="1"/>
  <c r="F51" i="1"/>
  <c r="D51" i="1"/>
  <c r="G50" i="1"/>
  <c r="E50" i="1"/>
  <c r="C50" i="1"/>
  <c r="H49" i="1"/>
  <c r="F49" i="1"/>
  <c r="D49" i="1"/>
  <c r="I48" i="1"/>
  <c r="G48" i="1"/>
  <c r="E48" i="1"/>
  <c r="C48" i="1"/>
  <c r="H47" i="1"/>
  <c r="F47" i="1"/>
  <c r="I47" i="1"/>
  <c r="G47" i="1"/>
  <c r="E47" i="1"/>
  <c r="D47" i="1"/>
  <c r="C47" i="1"/>
  <c r="F26" i="6"/>
  <c r="F30" i="6"/>
  <c r="E16" i="6"/>
  <c r="I16" i="6"/>
  <c r="F17" i="6"/>
  <c r="J17" i="6"/>
  <c r="G18" i="6"/>
  <c r="K18" i="6"/>
  <c r="H19" i="6"/>
  <c r="E20" i="6"/>
  <c r="I20" i="6"/>
  <c r="F21" i="6"/>
  <c r="J21" i="6"/>
  <c r="G22" i="6"/>
  <c r="K22" i="6"/>
  <c r="H23" i="6"/>
  <c r="E24" i="6"/>
  <c r="I24" i="6"/>
  <c r="F25" i="6"/>
  <c r="J25" i="6"/>
  <c r="G26" i="6"/>
  <c r="K26" i="6"/>
  <c r="H27" i="6"/>
  <c r="E28" i="6"/>
  <c r="I28" i="6"/>
  <c r="F29" i="6"/>
  <c r="J29" i="6"/>
  <c r="G30" i="6"/>
  <c r="K30" i="6"/>
  <c r="H31" i="6"/>
  <c r="F19" i="6"/>
  <c r="H21" i="6"/>
  <c r="F23" i="6"/>
  <c r="G24" i="6"/>
  <c r="H25" i="6"/>
  <c r="I26" i="6"/>
  <c r="J27" i="6"/>
  <c r="K28" i="6"/>
  <c r="E30" i="6"/>
  <c r="F31" i="6"/>
  <c r="H16" i="6"/>
  <c r="I17" i="6"/>
  <c r="J18" i="6"/>
  <c r="H20" i="6"/>
  <c r="I21" i="6"/>
  <c r="J22" i="6"/>
  <c r="H24" i="6"/>
  <c r="I25" i="6"/>
  <c r="G27" i="6"/>
  <c r="E29" i="6"/>
  <c r="J30" i="6"/>
  <c r="K31" i="6"/>
  <c r="F16" i="6"/>
  <c r="J16" i="6"/>
  <c r="G17" i="6"/>
  <c r="K17" i="6"/>
  <c r="H18" i="6"/>
  <c r="E19" i="6"/>
  <c r="I19" i="6"/>
  <c r="F20" i="6"/>
  <c r="J20" i="6"/>
  <c r="G21" i="6"/>
  <c r="K21" i="6"/>
  <c r="H22" i="6"/>
  <c r="E23" i="6"/>
  <c r="I23" i="6"/>
  <c r="F24" i="6"/>
  <c r="J24" i="6"/>
  <c r="G25" i="6"/>
  <c r="K25" i="6"/>
  <c r="H26" i="6"/>
  <c r="E27" i="6"/>
  <c r="I27" i="6"/>
  <c r="F28" i="6"/>
  <c r="J28" i="6"/>
  <c r="G29" i="6"/>
  <c r="K29" i="6"/>
  <c r="H30" i="6"/>
  <c r="E31" i="6"/>
  <c r="I31" i="6"/>
  <c r="G16" i="6"/>
  <c r="K16" i="6"/>
  <c r="H17" i="6"/>
  <c r="E18" i="6"/>
  <c r="I18" i="6"/>
  <c r="J19" i="6"/>
  <c r="G20" i="6"/>
  <c r="K20" i="6"/>
  <c r="E22" i="6"/>
  <c r="I22" i="6"/>
  <c r="J23" i="6"/>
  <c r="K24" i="6"/>
  <c r="E26" i="6"/>
  <c r="F27" i="6"/>
  <c r="G28" i="6"/>
  <c r="H29" i="6"/>
  <c r="I30" i="6"/>
  <c r="J31" i="6"/>
  <c r="E17" i="6"/>
  <c r="F18" i="6"/>
  <c r="G19" i="6"/>
  <c r="K19" i="6"/>
  <c r="E21" i="6"/>
  <c r="F22" i="6"/>
  <c r="G23" i="6"/>
  <c r="K23" i="6"/>
  <c r="E25" i="6"/>
  <c r="J26" i="6"/>
  <c r="K27" i="6"/>
  <c r="H28" i="6"/>
  <c r="I29" i="6"/>
  <c r="G31" i="6"/>
  <c r="P23" i="2" a="1"/>
  <c r="N23" i="2" a="1"/>
  <c r="C16" i="2" a="1"/>
  <c r="C19" i="2" a="1"/>
  <c r="C10" i="2" a="1"/>
  <c r="C17" i="2" a="1"/>
  <c r="C15" i="2" a="1"/>
  <c r="C18" i="2" a="1"/>
  <c r="N23" i="2" l="1"/>
  <c r="P23" i="2"/>
  <c r="C10" i="2"/>
  <c r="C18" i="2"/>
  <c r="C16" i="2"/>
  <c r="C19" i="2"/>
  <c r="C17" i="2"/>
  <c r="C8" i="2" s="1"/>
  <c r="C15" i="2"/>
  <c r="B8" i="2" l="1"/>
  <c r="C6" i="2" a="1"/>
  <c r="C5" i="1" a="1"/>
  <c r="C6" i="1" a="1"/>
  <c r="C4" i="1" a="1"/>
  <c r="C6" i="1" l="1"/>
  <c r="C5" i="1"/>
  <c r="C6" i="2"/>
  <c r="C4" i="1"/>
  <c r="H13" i="1" a="1"/>
  <c r="G26" i="1" a="1"/>
  <c r="I27" i="1" a="1"/>
  <c r="I25" i="1" a="1"/>
  <c r="E10" i="1" a="1"/>
  <c r="G30" i="1" a="1"/>
  <c r="D12" i="1" a="1"/>
  <c r="E15" i="1" a="1"/>
  <c r="I28" i="1" a="1"/>
  <c r="G25" i="1" a="1"/>
  <c r="C11" i="1" a="1"/>
  <c r="C29" i="1" a="1"/>
  <c r="D29" i="1" a="1"/>
  <c r="C25" i="1" a="1"/>
  <c r="F28" i="1" a="1"/>
  <c r="H14" i="1" a="1"/>
  <c r="H28" i="1" a="1"/>
  <c r="D25" i="1" a="1"/>
  <c r="E11" i="1" a="1"/>
  <c r="F26" i="1" a="1"/>
  <c r="C14" i="1" a="1"/>
  <c r="E12" i="1" a="1"/>
  <c r="G29" i="1" a="1"/>
  <c r="G15" i="1" a="1"/>
  <c r="E13" i="1" a="1"/>
  <c r="C15" i="1" a="1"/>
  <c r="C28" i="1" a="1"/>
  <c r="H11" i="1" a="1"/>
  <c r="H15" i="1" a="1"/>
  <c r="D11" i="1" a="1"/>
  <c r="C13" i="1" a="1"/>
  <c r="G28" i="1" a="1"/>
  <c r="F11" i="1" a="1"/>
  <c r="H26" i="1" a="1"/>
  <c r="F14" i="1" a="1"/>
  <c r="F30" i="1" a="1"/>
  <c r="G13" i="1" a="1"/>
  <c r="E25" i="1" a="1"/>
  <c r="G14" i="1" a="1"/>
  <c r="E14" i="1" a="1"/>
  <c r="I26" i="1" a="1"/>
  <c r="G12" i="1" a="1"/>
  <c r="I12" i="1" a="1"/>
  <c r="E27" i="1" a="1"/>
  <c r="I30" i="1" a="1"/>
  <c r="C27" i="1" a="1"/>
  <c r="F10" i="1" a="1"/>
  <c r="F12" i="1" a="1"/>
  <c r="H27" i="1" a="1"/>
  <c r="H12" i="1" a="1"/>
  <c r="D14" i="1" a="1"/>
  <c r="F29" i="1" a="1"/>
  <c r="F27" i="1" a="1"/>
  <c r="E28" i="1" a="1"/>
  <c r="H29" i="1" a="1"/>
  <c r="I13" i="1" a="1"/>
  <c r="D30" i="1" a="1"/>
  <c r="I11" i="1" a="1"/>
  <c r="E29" i="1" a="1"/>
  <c r="C10" i="1" a="1"/>
  <c r="H25" i="1" a="1"/>
  <c r="C30" i="1" a="1"/>
  <c r="I15" i="1" a="1"/>
  <c r="C12" i="1" a="1"/>
  <c r="D26" i="1" a="1"/>
  <c r="G10" i="1" a="1"/>
  <c r="E26" i="1" a="1"/>
  <c r="F15" i="1" a="1"/>
  <c r="H30" i="1" a="1"/>
  <c r="I14" i="1" a="1"/>
  <c r="D15" i="1" a="1"/>
  <c r="E30" i="1" a="1"/>
  <c r="F13" i="1" a="1"/>
  <c r="G27" i="1" a="1"/>
  <c r="G11" i="1" a="1"/>
  <c r="H10" i="1" a="1"/>
  <c r="I29" i="1" a="1"/>
  <c r="D10" i="1" a="1"/>
  <c r="F25" i="1" a="1"/>
  <c r="D13" i="1" a="1"/>
  <c r="D28" i="1" a="1"/>
  <c r="D27" i="1" a="1"/>
  <c r="C26" i="1" a="1"/>
  <c r="I10" i="1" a="1"/>
  <c r="D25" i="1" l="1"/>
  <c r="F25" i="1"/>
  <c r="H25" i="1"/>
  <c r="D26" i="1"/>
  <c r="F26" i="1"/>
  <c r="H26" i="1"/>
  <c r="D27" i="1"/>
  <c r="F27" i="1"/>
  <c r="H27" i="1"/>
  <c r="D28" i="1"/>
  <c r="F28" i="1"/>
  <c r="H28" i="1"/>
  <c r="D29" i="1"/>
  <c r="F29" i="1"/>
  <c r="H29" i="1"/>
  <c r="D30" i="1"/>
  <c r="F30" i="1"/>
  <c r="H30" i="1"/>
  <c r="G27" i="1"/>
  <c r="E28" i="1"/>
  <c r="I28" i="1"/>
  <c r="G29" i="1"/>
  <c r="E30" i="1"/>
  <c r="I30" i="1"/>
  <c r="E25" i="1"/>
  <c r="G25" i="1"/>
  <c r="I25" i="1"/>
  <c r="E26" i="1"/>
  <c r="G26" i="1"/>
  <c r="I26" i="1"/>
  <c r="E27" i="1"/>
  <c r="I27" i="1"/>
  <c r="G28" i="1"/>
  <c r="E29" i="1"/>
  <c r="I29" i="1"/>
  <c r="G30" i="1"/>
  <c r="C26" i="1"/>
  <c r="C29" i="1"/>
  <c r="C30" i="1"/>
  <c r="C27" i="1"/>
  <c r="C28" i="1"/>
  <c r="C25" i="1"/>
  <c r="D10" i="1"/>
  <c r="F10" i="1"/>
  <c r="H10" i="1"/>
  <c r="D11" i="1"/>
  <c r="F11" i="1"/>
  <c r="H11" i="1"/>
  <c r="D12" i="1"/>
  <c r="F12" i="1"/>
  <c r="H12" i="1"/>
  <c r="D13" i="1"/>
  <c r="F13" i="1"/>
  <c r="H13" i="1"/>
  <c r="D14" i="1"/>
  <c r="F14" i="1"/>
  <c r="H14" i="1"/>
  <c r="D15" i="1"/>
  <c r="F15" i="1"/>
  <c r="H15" i="1"/>
  <c r="G10" i="1"/>
  <c r="E11" i="1"/>
  <c r="E12" i="1"/>
  <c r="G12" i="1"/>
  <c r="E13" i="1"/>
  <c r="G13" i="1"/>
  <c r="G14" i="1"/>
  <c r="I14" i="1"/>
  <c r="I15" i="1"/>
  <c r="G11" i="1"/>
  <c r="E14" i="1"/>
  <c r="G15" i="1"/>
  <c r="E10" i="1"/>
  <c r="I10" i="1"/>
  <c r="I11" i="1"/>
  <c r="I12" i="1"/>
  <c r="I13" i="1"/>
  <c r="E15" i="1"/>
  <c r="C11" i="1"/>
  <c r="C13" i="1"/>
  <c r="C14" i="1"/>
  <c r="C15" i="1"/>
  <c r="C12" i="1"/>
  <c r="C10" i="1"/>
  <c r="C35" i="1" a="1"/>
  <c r="C34" i="1" a="1"/>
  <c r="C33" i="1" a="1"/>
  <c r="C17" i="1" a="1"/>
  <c r="C37" i="1" a="1"/>
  <c r="C32" i="1" a="1"/>
  <c r="C36" i="1" a="1"/>
  <c r="C34" i="1" l="1"/>
  <c r="C35" i="1"/>
  <c r="C33" i="1"/>
  <c r="C17" i="1"/>
  <c r="C32" i="1"/>
  <c r="C36" i="1"/>
  <c r="C37" i="1"/>
  <c r="D34" i="1" a="1"/>
  <c r="D35" i="1" a="1"/>
  <c r="C22" i="1" a="1"/>
  <c r="C21" i="1" a="1"/>
  <c r="D36" i="1" a="1"/>
  <c r="C20" i="1" a="1"/>
  <c r="C19" i="1" a="1"/>
  <c r="D37" i="1" a="1"/>
  <c r="D32" i="1" a="1"/>
  <c r="C18" i="1" a="1"/>
  <c r="D33" i="1" a="1"/>
  <c r="D33" i="1" l="1"/>
  <c r="D36" i="1"/>
  <c r="D32" i="1"/>
  <c r="D35" i="1"/>
  <c r="D34" i="1"/>
  <c r="D37" i="1"/>
  <c r="C18" i="1"/>
  <c r="C21" i="1"/>
  <c r="C20" i="1"/>
  <c r="C19" i="1"/>
  <c r="C22" i="1"/>
  <c r="D17" i="1" a="1"/>
  <c r="D22" i="1" a="1"/>
  <c r="E35" i="1" a="1"/>
  <c r="D21" i="1" a="1"/>
  <c r="E34" i="1" a="1"/>
  <c r="E37" i="1" a="1"/>
  <c r="D19" i="1" a="1"/>
  <c r="D20" i="1" a="1"/>
  <c r="E36" i="1" a="1"/>
  <c r="D18" i="1" a="1"/>
  <c r="E32" i="1" a="1"/>
  <c r="E33" i="1" a="1"/>
  <c r="D19" i="1" l="1"/>
  <c r="D21" i="1"/>
  <c r="E37" i="1"/>
  <c r="E36" i="1"/>
  <c r="E35" i="1"/>
  <c r="D20" i="1"/>
  <c r="E32" i="1"/>
  <c r="D18" i="1"/>
  <c r="D22" i="1"/>
  <c r="E34" i="1"/>
  <c r="D17" i="1"/>
  <c r="E33" i="1"/>
  <c r="F35" i="1" a="1"/>
  <c r="F32" i="1" a="1"/>
  <c r="F21" i="1" a="1"/>
  <c r="F37" i="1" a="1"/>
  <c r="F19" i="1" a="1"/>
  <c r="E21" i="1" a="1"/>
  <c r="F36" i="1" a="1"/>
  <c r="F34" i="1" a="1"/>
  <c r="F33" i="1" a="1"/>
  <c r="F22" i="1" a="1"/>
  <c r="F17" i="1" a="1"/>
  <c r="E17" i="1" a="1"/>
  <c r="F18" i="1" a="1"/>
  <c r="E20" i="1" a="1"/>
  <c r="E19" i="1" a="1"/>
  <c r="E18" i="1" a="1"/>
  <c r="F20" i="1" a="1"/>
  <c r="E22" i="1" a="1"/>
  <c r="F20" i="1" l="1"/>
  <c r="F22" i="1"/>
  <c r="F17" i="1"/>
  <c r="F18" i="1"/>
  <c r="F19" i="1"/>
  <c r="F21" i="1"/>
  <c r="F32" i="1"/>
  <c r="F35" i="1"/>
  <c r="E22" i="1"/>
  <c r="E19" i="1"/>
  <c r="E18" i="1"/>
  <c r="E17" i="1"/>
  <c r="E20" i="1"/>
  <c r="E21" i="1"/>
  <c r="F37" i="1"/>
  <c r="F33" i="1"/>
  <c r="F34" i="1"/>
  <c r="F36" i="1"/>
  <c r="G17" i="1" a="1"/>
  <c r="G20" i="1" a="1"/>
  <c r="G35" i="1" a="1"/>
  <c r="G18" i="1" a="1"/>
  <c r="G34" i="1" a="1"/>
  <c r="G32" i="1" a="1"/>
  <c r="G21" i="1" a="1"/>
  <c r="G33" i="1" a="1"/>
  <c r="G19" i="1" a="1"/>
  <c r="G36" i="1" a="1"/>
  <c r="G37" i="1" a="1"/>
  <c r="G22" i="1" a="1"/>
  <c r="G21" i="1" l="1"/>
  <c r="G18" i="1"/>
  <c r="G22" i="1"/>
  <c r="G19" i="1"/>
  <c r="G17" i="1"/>
  <c r="G20" i="1"/>
  <c r="G34" i="1"/>
  <c r="G37" i="1"/>
  <c r="G35" i="1"/>
  <c r="G36" i="1"/>
  <c r="G33" i="1"/>
  <c r="G32" i="1"/>
  <c r="H37" i="1" a="1"/>
  <c r="H33" i="1" a="1"/>
  <c r="H32" i="1" a="1"/>
  <c r="H36" i="1" a="1"/>
  <c r="H34" i="1" a="1"/>
  <c r="H35" i="1" a="1"/>
  <c r="H32" i="1" l="1"/>
  <c r="H36" i="1"/>
  <c r="H37" i="1"/>
  <c r="H33" i="1"/>
  <c r="H35" i="1"/>
  <c r="H34" i="1"/>
  <c r="I37" i="1" a="1"/>
  <c r="H22" i="1" a="1"/>
  <c r="I32" i="1" a="1"/>
  <c r="H18" i="1" a="1"/>
  <c r="I34" i="1" a="1"/>
  <c r="H17" i="1" a="1"/>
  <c r="H21" i="1" a="1"/>
  <c r="H20" i="1" a="1"/>
  <c r="H19" i="1" a="1"/>
  <c r="I36" i="1" a="1"/>
  <c r="I35" i="1" a="1"/>
  <c r="I33" i="1" a="1"/>
  <c r="I34" i="1" l="1"/>
  <c r="H17" i="1"/>
  <c r="H18" i="1"/>
  <c r="H22" i="1"/>
  <c r="I36" i="1"/>
  <c r="I37" i="1"/>
  <c r="H19" i="1"/>
  <c r="H20" i="1"/>
  <c r="I33" i="1"/>
  <c r="H21" i="1"/>
  <c r="I35" i="1"/>
  <c r="I32" i="1"/>
  <c r="I17" i="1" a="1"/>
  <c r="I19" i="1" a="1"/>
  <c r="I18" i="1" a="1"/>
  <c r="I21" i="1" a="1"/>
  <c r="I22" i="1" a="1"/>
  <c r="I20" i="1" a="1"/>
  <c r="I18" i="1" l="1"/>
  <c r="I22" i="1"/>
  <c r="I20" i="1"/>
  <c r="I17" i="1"/>
  <c r="I21" i="1"/>
  <c r="I19" i="1"/>
  <c r="B7" i="2" l="1"/>
  <c r="C14" i="2" a="1"/>
  <c r="C7" i="2" a="1"/>
  <c r="C14" i="2" l="1"/>
  <c r="C7" i="2"/>
  <c r="C9" i="2" a="1"/>
  <c r="P18" i="2" a="1"/>
  <c r="O18" i="2" a="1"/>
  <c r="N18" i="2" a="1"/>
  <c r="O17" i="2" a="1"/>
  <c r="O19" i="2" a="1"/>
  <c r="C9" i="2" l="1"/>
  <c r="O17" i="2"/>
  <c r="P18" i="2"/>
  <c r="O18" i="2"/>
  <c r="O19" i="2"/>
  <c r="N18" i="2"/>
  <c r="E34" i="2" a="1"/>
  <c r="H33" i="2" a="1"/>
  <c r="H38" i="2" a="1"/>
  <c r="H37" i="2" a="1"/>
  <c r="E37" i="2" a="1"/>
  <c r="E14" i="2" a="1"/>
  <c r="E17" i="2" a="1"/>
  <c r="D18" i="2" a="1"/>
  <c r="G15" i="2" a="1"/>
  <c r="G34" i="2" a="1"/>
  <c r="J33" i="2" a="1"/>
  <c r="E38" i="2" a="1"/>
  <c r="F38" i="2" a="1"/>
  <c r="I37" i="2" a="1"/>
  <c r="H16" i="2" a="1"/>
  <c r="H15" i="2" a="1"/>
  <c r="H18" i="2" a="1"/>
  <c r="O23" i="2" a="1"/>
  <c r="J16" i="2" a="1"/>
  <c r="I16" i="2" a="1"/>
  <c r="I34" i="2" a="1"/>
  <c r="H34" i="2" a="1"/>
  <c r="F33" i="2" a="1"/>
  <c r="J38" i="2" a="1"/>
  <c r="D34" i="2" a="1"/>
  <c r="G19" i="2" a="1"/>
  <c r="D19" i="2" a="1"/>
  <c r="O22" i="2" a="1"/>
  <c r="I15" i="2" a="1"/>
  <c r="I19" i="2" a="1"/>
  <c r="G14" i="2" a="1"/>
  <c r="F37" i="2" a="1"/>
  <c r="D38" i="2" a="1"/>
  <c r="E19" i="2" a="1"/>
  <c r="J17" i="2" a="1"/>
  <c r="D16" i="2" a="1"/>
  <c r="G35" i="2" a="1"/>
  <c r="F35" i="2" a="1"/>
  <c r="F34" i="2" a="1"/>
  <c r="G38" i="2" a="1"/>
  <c r="D36" i="2" a="1"/>
  <c r="P22" i="2" a="1"/>
  <c r="F14" i="2" a="1"/>
  <c r="J19" i="2" a="1"/>
  <c r="H14" i="2" a="1"/>
  <c r="G18" i="2" a="1"/>
  <c r="F16" i="2" a="1"/>
  <c r="D15" i="2" a="1"/>
  <c r="I14" i="2" a="1"/>
  <c r="H36" i="2" a="1"/>
  <c r="H35" i="2" a="1"/>
  <c r="D37" i="2" a="1"/>
  <c r="O21" i="2" a="1"/>
  <c r="E16" i="2" a="1"/>
  <c r="F19" i="2" a="1"/>
  <c r="E33" i="2" a="1"/>
  <c r="F36" i="2" a="1"/>
  <c r="I18" i="2" a="1"/>
  <c r="J18" i="2" a="1"/>
  <c r="H19" i="2" a="1"/>
  <c r="D14" i="2" a="1"/>
  <c r="E36" i="2" a="1"/>
  <c r="J35" i="2" a="1"/>
  <c r="J34" i="2" a="1"/>
  <c r="I33" i="2" a="1"/>
  <c r="D35" i="2" a="1"/>
  <c r="G16" i="2" a="1"/>
  <c r="E15" i="2" a="1"/>
  <c r="I17" i="2" a="1"/>
  <c r="N22" i="2" a="1"/>
  <c r="I36" i="2" a="1"/>
  <c r="E35" i="2" a="1"/>
  <c r="F15" i="2" a="1"/>
  <c r="F17" i="2" a="1"/>
  <c r="G17" i="2" a="1"/>
  <c r="G37" i="2" a="1"/>
  <c r="I35" i="2" a="1"/>
  <c r="B9" i="2" a="1"/>
  <c r="H17" i="2" a="1"/>
  <c r="E18" i="2" a="1"/>
  <c r="D17" i="2" a="1"/>
  <c r="G33" i="2" a="1"/>
  <c r="I38" i="2" a="1"/>
  <c r="J37" i="2" a="1"/>
  <c r="J36" i="2" a="1"/>
  <c r="G36" i="2" a="1"/>
  <c r="D33" i="2" a="1"/>
  <c r="J15" i="2" a="1"/>
  <c r="F18" i="2" a="1"/>
  <c r="J14" i="2" a="1"/>
  <c r="D33" i="2" l="1"/>
  <c r="D38" i="2"/>
  <c r="D37" i="2"/>
  <c r="D35" i="2"/>
  <c r="D36" i="2"/>
  <c r="D34" i="2"/>
  <c r="I37" i="2"/>
  <c r="E37" i="2"/>
  <c r="G36" i="2"/>
  <c r="I35" i="2"/>
  <c r="E35" i="2"/>
  <c r="I33" i="2"/>
  <c r="G38" i="2"/>
  <c r="J38" i="2"/>
  <c r="F38" i="2"/>
  <c r="H37" i="2"/>
  <c r="J36" i="2"/>
  <c r="F36" i="2"/>
  <c r="H35" i="2"/>
  <c r="J34" i="2"/>
  <c r="F34" i="2"/>
  <c r="F33" i="2"/>
  <c r="E38" i="2"/>
  <c r="H38" i="2"/>
  <c r="J37" i="2"/>
  <c r="F37" i="2"/>
  <c r="H36" i="2"/>
  <c r="J35" i="2"/>
  <c r="F35" i="2"/>
  <c r="H34" i="2"/>
  <c r="J33" i="2"/>
  <c r="H33" i="2"/>
  <c r="I38" i="2"/>
  <c r="G37" i="2"/>
  <c r="I36" i="2"/>
  <c r="E36" i="2"/>
  <c r="G35" i="2"/>
  <c r="I34" i="2"/>
  <c r="G34" i="2"/>
  <c r="E34" i="2"/>
  <c r="G33" i="2"/>
  <c r="E33" i="2"/>
  <c r="D14" i="2"/>
  <c r="D18" i="2"/>
  <c r="D16" i="2"/>
  <c r="D19" i="2"/>
  <c r="D17" i="2"/>
  <c r="D15" i="2"/>
  <c r="J18" i="2"/>
  <c r="H17" i="2"/>
  <c r="F16" i="2"/>
  <c r="G19" i="2"/>
  <c r="I18" i="2"/>
  <c r="E18" i="2"/>
  <c r="G17" i="2"/>
  <c r="I16" i="2"/>
  <c r="E16" i="2"/>
  <c r="E15" i="2"/>
  <c r="H19" i="2"/>
  <c r="F18" i="2"/>
  <c r="J16" i="2"/>
  <c r="H15" i="2"/>
  <c r="F15" i="2"/>
  <c r="H14" i="2"/>
  <c r="F14" i="2"/>
  <c r="F19" i="2"/>
  <c r="J17" i="2"/>
  <c r="H16" i="2"/>
  <c r="J14" i="2"/>
  <c r="J19" i="2"/>
  <c r="H18" i="2"/>
  <c r="F17" i="2"/>
  <c r="J15" i="2"/>
  <c r="I19" i="2"/>
  <c r="E19" i="2"/>
  <c r="G18" i="2"/>
  <c r="I17" i="2"/>
  <c r="E17" i="2"/>
  <c r="G16" i="2"/>
  <c r="I15" i="2"/>
  <c r="G15" i="2"/>
  <c r="I14" i="2"/>
  <c r="G14" i="2"/>
  <c r="E14" i="2"/>
  <c r="O23" i="2"/>
  <c r="N22" i="2"/>
  <c r="P22" i="2"/>
  <c r="B9" i="2"/>
  <c r="O21" i="2"/>
  <c r="O22" i="2"/>
  <c r="J29" i="2" a="1"/>
  <c r="J28" i="2" a="1"/>
  <c r="F27" i="2" a="1"/>
  <c r="F28" i="2" a="1"/>
  <c r="H25" i="2" a="1"/>
  <c r="I28" i="2" a="1"/>
  <c r="H27" i="2" a="1"/>
  <c r="E27" i="2" a="1"/>
  <c r="D28" i="2" a="1"/>
  <c r="G24" i="2" a="1"/>
  <c r="I24" i="2" a="1"/>
  <c r="D25" i="2" a="1"/>
  <c r="I27" i="2" a="1"/>
  <c r="I26" i="2" a="1"/>
  <c r="H29" i="2" a="1"/>
  <c r="E26" i="2" a="1"/>
  <c r="F24" i="2" a="1"/>
  <c r="F29" i="2" a="1"/>
  <c r="J25" i="2" a="1"/>
  <c r="D29" i="2" a="1"/>
  <c r="G27" i="2" a="1"/>
  <c r="G28" i="2" a="1"/>
  <c r="E29" i="2" a="1"/>
  <c r="G29" i="2" a="1"/>
  <c r="I29" i="2" a="1"/>
  <c r="D27" i="2" a="1"/>
  <c r="D26" i="2" a="1"/>
  <c r="J24" i="2" a="1"/>
  <c r="F26" i="2" a="1"/>
  <c r="F25" i="2" a="1"/>
  <c r="H26" i="2" a="1"/>
  <c r="H28" i="2" a="1"/>
  <c r="E28" i="2" a="1"/>
  <c r="H24" i="2" a="1"/>
  <c r="G25" i="2" a="1"/>
  <c r="J27" i="2" a="1"/>
  <c r="I25" i="2" a="1"/>
  <c r="E25" i="2" a="1"/>
  <c r="G26" i="2" a="1"/>
  <c r="J26" i="2" a="1"/>
  <c r="E24" i="2" a="1"/>
  <c r="I24" i="2" l="1"/>
  <c r="E27" i="2"/>
  <c r="I29" i="2"/>
  <c r="H25" i="2"/>
  <c r="E25" i="2"/>
  <c r="E28" i="2"/>
  <c r="H27" i="2"/>
  <c r="D29" i="2"/>
  <c r="G25" i="2"/>
  <c r="I27" i="2"/>
  <c r="J25" i="2"/>
  <c r="J24" i="2"/>
  <c r="F24" i="2"/>
  <c r="J26" i="2"/>
  <c r="E26" i="2"/>
  <c r="I28" i="2"/>
  <c r="J28" i="2"/>
  <c r="D26" i="2"/>
  <c r="F29" i="2"/>
  <c r="E24" i="2"/>
  <c r="I25" i="2"/>
  <c r="G28" i="2"/>
  <c r="F27" i="2"/>
  <c r="H26" i="2"/>
  <c r="H24" i="2"/>
  <c r="F28" i="2"/>
  <c r="I26" i="2"/>
  <c r="G29" i="2"/>
  <c r="D25" i="2"/>
  <c r="D28" i="2"/>
  <c r="J29" i="2"/>
  <c r="G24" i="2"/>
  <c r="G26" i="2"/>
  <c r="E29" i="2"/>
  <c r="H28" i="2"/>
  <c r="J27" i="2"/>
  <c r="F25" i="2"/>
  <c r="H29" i="2"/>
  <c r="G27" i="2"/>
  <c r="F26" i="2"/>
  <c r="D27" i="2"/>
  <c r="D24" i="2" a="1"/>
  <c r="I23" i="2" l="1"/>
  <c r="H23" i="2"/>
  <c r="F23" i="2"/>
  <c r="J23" i="2"/>
  <c r="G23" i="2"/>
  <c r="D23" i="2"/>
  <c r="E23" i="2"/>
  <c r="D24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<sst xmlns="http://schemas.openxmlformats.org/spreadsheetml/2006/main" count="188" uniqueCount="95">
  <si>
    <t>Obliquity</t>
  </si>
  <si>
    <t>Latitude</t>
  </si>
  <si>
    <t>Method 0</t>
  </si>
  <si>
    <t>23.33'30</t>
  </si>
  <si>
    <t>45.00'00</t>
  </si>
  <si>
    <t>Method 1</t>
  </si>
  <si>
    <t>Radians</t>
  </si>
  <si>
    <t>Method 2</t>
  </si>
  <si>
    <t>Method 3</t>
  </si>
  <si>
    <t>Method 4</t>
  </si>
  <si>
    <t>Method 5</t>
  </si>
  <si>
    <t>Method 6</t>
  </si>
  <si>
    <t>House</t>
  </si>
  <si>
    <t>00.10'00</t>
  </si>
  <si>
    <t>Observed longitude</t>
  </si>
  <si>
    <t>Error Range</t>
  </si>
  <si>
    <t>267.03'47</t>
  </si>
  <si>
    <t>301.36'15</t>
  </si>
  <si>
    <t>332.06'08</t>
  </si>
  <si>
    <t>23.33.30</t>
  </si>
  <si>
    <t>Error</t>
  </si>
  <si>
    <t>FOI</t>
  </si>
  <si>
    <t>FIO</t>
  </si>
  <si>
    <t>Long ASC</t>
  </si>
  <si>
    <t>Long IMC</t>
  </si>
  <si>
    <t>23.31.30</t>
  </si>
  <si>
    <t>Standard values</t>
  </si>
  <si>
    <t>23.51.20</t>
  </si>
  <si>
    <t>23.51.00</t>
  </si>
  <si>
    <t>23.35.00</t>
  </si>
  <si>
    <t>23.30.00</t>
  </si>
  <si>
    <t>Ascendant longitude</t>
  </si>
  <si>
    <t>269°12'00"</t>
  </si>
  <si>
    <t>Geographical latitude</t>
  </si>
  <si>
    <t>METHODS</t>
  </si>
  <si>
    <t>LONGITUDES</t>
  </si>
  <si>
    <t>RIGHT ASCENSIONS</t>
  </si>
  <si>
    <t>00.06.00</t>
  </si>
  <si>
    <t>1.00.00</t>
  </si>
  <si>
    <t>00.30.00</t>
  </si>
  <si>
    <t>00.10.00</t>
  </si>
  <si>
    <t>00.01.00</t>
  </si>
  <si>
    <t>00.00.30</t>
  </si>
  <si>
    <t>00.00.01</t>
  </si>
  <si>
    <t>305.10'00</t>
  </si>
  <si>
    <t>352.55'00</t>
  </si>
  <si>
    <t>26.50'00</t>
  </si>
  <si>
    <t>48.23'00</t>
  </si>
  <si>
    <t>66.48'00</t>
  </si>
  <si>
    <t>Obliquity of Ecliptic</t>
  </si>
  <si>
    <t>262°12'00''</t>
  </si>
  <si>
    <t>44°57'02''</t>
  </si>
  <si>
    <t>Standard Values</t>
  </si>
  <si>
    <t>Right Ascensions</t>
  </si>
  <si>
    <t>202°33'29</t>
  </si>
  <si>
    <t>232°41'42</t>
  </si>
  <si>
    <t>177°33'59"</t>
  </si>
  <si>
    <t>Quality coefficient (in degrees)</t>
  </si>
  <si>
    <t>23°33.30</t>
  </si>
  <si>
    <t>177°34'00</t>
  </si>
  <si>
    <t>45°00'00</t>
  </si>
  <si>
    <t>Method A - Knowing the Ascendant longitude and geographical latitude</t>
  </si>
  <si>
    <t>Method B - Computing from observed longitudes</t>
  </si>
  <si>
    <t>QUALITY COEFFICIENTS</t>
  </si>
  <si>
    <t>Observed</t>
  </si>
  <si>
    <t>Horosc for Excel v. 1.0 (2026), https://github.com/Turbehrt/horosc-Excel.</t>
  </si>
  <si>
    <r>
      <t xml:space="preserve">Based on John D. North, </t>
    </r>
    <r>
      <rPr>
        <i/>
        <sz val="11"/>
        <color theme="1"/>
        <rFont val="Aptos Narrow"/>
        <family val="2"/>
        <scheme val="minor"/>
      </rPr>
      <t>Horoscopes and History</t>
    </r>
    <r>
      <rPr>
        <sz val="11"/>
        <color theme="1"/>
        <rFont val="Aptos Narrow"/>
        <family val="2"/>
        <scheme val="minor"/>
      </rPr>
      <t>, 1986, Appendix 4 ; adapted to VBA for Microsoft Excel by François J. Tur and Alexandre Tur.</t>
    </r>
  </si>
  <si>
    <t>Only fill in the blue input cells.</t>
  </si>
  <si>
    <t>Direct sexagesimal computation</t>
  </si>
  <si>
    <t>Longtiude of the Ascendant</t>
  </si>
  <si>
    <t>House 1</t>
  </si>
  <si>
    <t>Longitudes</t>
  </si>
  <si>
    <t>Longitudes (degrees)</t>
  </si>
  <si>
    <t>Right ascensions (degrees)</t>
  </si>
  <si>
    <t>Obliquity of the ecliptic</t>
  </si>
  <si>
    <t>Degrees</t>
  </si>
  <si>
    <t>House 2</t>
  </si>
  <si>
    <t>House 3</t>
  </si>
  <si>
    <t>House 4</t>
  </si>
  <si>
    <t>House 5</t>
  </si>
  <si>
    <t>House 6</t>
  </si>
  <si>
    <t>Quality coefficients (radians)</t>
  </si>
  <si>
    <t>Right Ascensions (radians)</t>
  </si>
  <si>
    <t>Computation in radians</t>
  </si>
  <si>
    <t>Computation in degrees</t>
  </si>
  <si>
    <t>Theoretical geographical latitude of observation</t>
  </si>
  <si>
    <t>Asc, MC+ERR</t>
  </si>
  <si>
    <t>Asc-ERR,IMC</t>
  </si>
  <si>
    <t>Asc, IMC</t>
  </si>
  <si>
    <t>Asc, IMC-ERR</t>
  </si>
  <si>
    <t>Asc+ERR,IMC</t>
  </si>
  <si>
    <t>Asc-ERR,IMC-ERR</t>
  </si>
  <si>
    <t>Asc+ERR,IMC-ERR</t>
  </si>
  <si>
    <t>Directions</t>
  </si>
  <si>
    <t>Values in red reflect the inconsistent calculations in the original Pascal programme.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</si>
</sst>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%"/>
    <numFmt numFmtId="166" formatCode="0.0000000"/>
  </numFmts>
  <fonts count="1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sz val="10"/>
      <color rgb="FF3C4043"/>
      <name val="Roboto Mono"/>
    </font>
    <font>
      <b/>
      <sz val="10"/>
      <color theme="1"/>
      <name val="Arial"/>
      <family val="2"/>
    </font>
    <font>
      <sz val="11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b/>
      <sz val="11"/>
      <color theme="3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42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3" fillId="0" borderId="0" xfId="0" applyFont="1"/>
    <xf numFmtId="0" fontId="4" fillId="0" borderId="0" xfId="0" applyFont="1"/>
    <xf numFmtId="0" fontId="3" fillId="4" borderId="0" xfId="0" applyFont="1" applyFill="1"/>
    <xf numFmtId="0" fontId="0" fillId="5" borderId="0" xfId="0" applyFill="1"/>
    <xf numFmtId="0" fontId="0" fillId="6" borderId="0" xfId="0" applyFill="1"/>
    <xf numFmtId="0" fontId="0" fillId="4" borderId="0" xfId="0" applyFill="1"/>
    <xf numFmtId="0" fontId="5" fillId="0" borderId="0" xfId="0" applyFont="1"/>
    <xf numFmtId="164" fontId="0" fillId="0" borderId="0" xfId="0" applyNumberFormat="1"/>
    <xf numFmtId="0" fontId="3" fillId="7" borderId="0" xfId="0" applyFont="1" applyFill="1"/>
    <xf numFmtId="0" fontId="3" fillId="3" borderId="0" xfId="0" applyFont="1" applyFill="1"/>
    <xf numFmtId="0" fontId="5" fillId="3" borderId="0" xfId="0" applyFont="1" applyFill="1"/>
    <xf numFmtId="164" fontId="3" fillId="3" borderId="0" xfId="0" applyNumberFormat="1" applyFont="1" applyFill="1"/>
    <xf numFmtId="0" fontId="7" fillId="0" borderId="0" xfId="0" applyFont="1"/>
    <xf numFmtId="165" fontId="0" fillId="0" borderId="0" xfId="0" applyNumberFormat="1"/>
    <xf numFmtId="0" fontId="7" fillId="0" borderId="0" xfId="0" applyFont="1" applyAlignment="1">
      <alignment wrapText="1"/>
    </xf>
    <xf numFmtId="0" fontId="0" fillId="6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/>
    <xf numFmtId="166" fontId="1" fillId="0" borderId="0" xfId="1" applyNumberFormat="1" applyFont="1"/>
    <xf numFmtId="166" fontId="0" fillId="6" borderId="0" xfId="1" applyNumberFormat="1" applyFont="1" applyFill="1"/>
    <xf numFmtId="166" fontId="0" fillId="0" borderId="0" xfId="0" applyNumberFormat="1"/>
    <xf numFmtId="0" fontId="7" fillId="5" borderId="0" xfId="0" applyFont="1" applyFill="1"/>
    <xf numFmtId="0" fontId="7" fillId="0" borderId="0" xfId="0" applyFont="1" applyAlignment="1">
      <alignment horizontal="center" vertical="center"/>
    </xf>
    <xf numFmtId="0" fontId="0" fillId="8" borderId="0" xfId="0" quotePrefix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5" fillId="8" borderId="0" xfId="0" applyFont="1" applyFill="1"/>
    <xf numFmtId="0" fontId="3" fillId="8" borderId="0" xfId="0" applyFont="1" applyFill="1"/>
    <xf numFmtId="0" fontId="1" fillId="0" borderId="0" xfId="0" applyFont="1"/>
    <xf numFmtId="0" fontId="8" fillId="0" borderId="0" xfId="0" applyFont="1"/>
    <xf numFmtId="0" fontId="1" fillId="9" borderId="0" xfId="0" applyFont="1" applyFill="1"/>
    <xf numFmtId="0" fontId="0" fillId="9" borderId="0" xfId="0" applyFill="1"/>
    <xf numFmtId="0" fontId="1" fillId="0" borderId="0" xfId="0" applyFont="1" applyAlignment="1">
      <alignment wrapText="1"/>
    </xf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7" fillId="0" borderId="0" xfId="0" applyFont="1" applyAlignment="1">
      <alignment horizontal="right"/>
    </xf>
    <xf numFmtId="0" fontId="10" fillId="0" borderId="0" xfId="0" quotePrefix="1" applyFont="1" applyFill="1" applyAlignment="1">
      <alignment horizontal="right" vertical="center"/>
    </xf>
    <xf numFmtId="0" fontId="10" fillId="0" borderId="0" xfId="0" quotePrefix="1" applyFont="1" applyFill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5554-C127-FF44-8157-8F854AAC402C}">
  <sheetPr codeName="Sheet1"/>
  <dimension ref="A1:R74"/>
  <sheetViews>
    <sheetView tabSelected="1" workbookViewId="0"/>
  </sheetViews>
  <sheetFormatPr baseColWidth="10" defaultRowHeight="14.4" x14ac:dyDescent="0.3"/>
  <cols>
    <col min="3" max="3" width="22.77734375" customWidth="1"/>
    <col min="5" max="7" width="11.6640625" bestFit="1" customWidth="1"/>
    <col min="8" max="8" width="12.6640625" bestFit="1" customWidth="1"/>
    <col min="9" max="9" width="11.6640625" bestFit="1" customWidth="1"/>
    <col min="10" max="11" width="12.6640625" bestFit="1" customWidth="1"/>
  </cols>
  <sheetData>
    <row r="1" spans="1:12" x14ac:dyDescent="0.3">
      <c r="A1" t="s">
        <v>65</v>
      </c>
    </row>
    <row r="2" spans="1:12" x14ac:dyDescent="0.3">
      <c r="A2" t="s">
        <v>66</v>
      </c>
    </row>
    <row r="3" spans="1:12" x14ac:dyDescent="0.3">
      <c r="A3" s="31" t="s">
        <v>67</v>
      </c>
    </row>
    <row r="4" spans="1:12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1:12" x14ac:dyDescent="0.3">
      <c r="A5" s="3"/>
      <c r="B5" s="3"/>
      <c r="C5" s="9" t="s">
        <v>49</v>
      </c>
      <c r="D5" s="11" t="s">
        <v>25</v>
      </c>
      <c r="E5" s="3"/>
      <c r="F5" s="3"/>
      <c r="G5" s="3"/>
      <c r="H5" s="3"/>
      <c r="I5" s="3"/>
      <c r="J5" s="3"/>
      <c r="K5" s="3"/>
      <c r="L5" s="3"/>
    </row>
    <row r="6" spans="1:12" x14ac:dyDescent="0.3">
      <c r="A6" s="3"/>
      <c r="B6" s="3"/>
      <c r="C6" s="3" t="s">
        <v>26</v>
      </c>
      <c r="D6" s="3" t="s">
        <v>27</v>
      </c>
      <c r="E6" s="3" t="s">
        <v>28</v>
      </c>
      <c r="F6" s="3" t="s">
        <v>29</v>
      </c>
      <c r="G6" s="3" t="s">
        <v>19</v>
      </c>
      <c r="H6" s="3" t="s">
        <v>30</v>
      </c>
      <c r="I6" s="3" t="s">
        <v>25</v>
      </c>
      <c r="J6" s="3"/>
      <c r="K6" s="3"/>
      <c r="L6" s="3"/>
    </row>
    <row r="7" spans="1:12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</row>
    <row r="8" spans="1:12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</row>
    <row r="9" spans="1:12" x14ac:dyDescent="0.3">
      <c r="A9" s="28" t="s">
        <v>61</v>
      </c>
      <c r="B9" s="29"/>
      <c r="C9" s="29"/>
      <c r="D9" s="29"/>
      <c r="E9" s="29"/>
      <c r="F9" s="29"/>
      <c r="G9" s="29"/>
      <c r="H9" s="29"/>
      <c r="I9" s="29"/>
      <c r="J9" s="29"/>
      <c r="K9" s="29"/>
      <c r="L9" s="3"/>
    </row>
    <row r="10" spans="1:12" x14ac:dyDescent="0.3">
      <c r="A10" s="9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</row>
    <row r="11" spans="1:12" x14ac:dyDescent="0.3">
      <c r="A11" s="3"/>
      <c r="B11" s="3"/>
      <c r="C11" s="9" t="s">
        <v>31</v>
      </c>
      <c r="D11" s="11" t="s">
        <v>50</v>
      </c>
      <c r="E11" s="3"/>
      <c r="F11" s="3"/>
      <c r="G11" s="3"/>
      <c r="H11" s="3"/>
      <c r="I11" s="3"/>
      <c r="J11" s="3"/>
      <c r="K11" s="3"/>
      <c r="L11" s="3"/>
    </row>
    <row r="12" spans="1:12" x14ac:dyDescent="0.3">
      <c r="A12" s="3"/>
      <c r="B12" s="3"/>
      <c r="C12" s="9" t="s">
        <v>33</v>
      </c>
      <c r="D12" s="11" t="s">
        <v>51</v>
      </c>
      <c r="E12" s="3"/>
      <c r="F12" s="3"/>
      <c r="G12" s="3"/>
      <c r="H12" s="3"/>
      <c r="I12" s="3"/>
      <c r="J12" s="3"/>
      <c r="K12" s="3"/>
      <c r="L12" s="3"/>
    </row>
    <row r="13" spans="1:12" x14ac:dyDescent="0.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2" x14ac:dyDescent="0.3">
      <c r="A14" s="3"/>
      <c r="B14" s="3"/>
      <c r="C14" s="3"/>
      <c r="D14" s="3"/>
      <c r="E14" s="9" t="s">
        <v>34</v>
      </c>
      <c r="F14" s="3"/>
      <c r="G14" s="3"/>
      <c r="H14" s="3"/>
      <c r="I14" s="3"/>
      <c r="J14" s="3"/>
      <c r="K14" s="3"/>
      <c r="L14" s="3"/>
    </row>
    <row r="15" spans="1:12" x14ac:dyDescent="0.3">
      <c r="A15" s="3"/>
      <c r="B15" s="3"/>
      <c r="C15" s="9" t="s">
        <v>35</v>
      </c>
      <c r="D15" s="3"/>
      <c r="E15" s="9">
        <v>0</v>
      </c>
      <c r="F15" s="9">
        <v>1</v>
      </c>
      <c r="G15" s="9">
        <v>2</v>
      </c>
      <c r="H15" s="9">
        <v>3</v>
      </c>
      <c r="I15" s="9">
        <v>4</v>
      </c>
      <c r="J15" s="9">
        <v>5</v>
      </c>
      <c r="K15" s="9">
        <v>6</v>
      </c>
      <c r="L15" s="3"/>
    </row>
    <row r="16" spans="1:12" x14ac:dyDescent="0.3">
      <c r="A16" s="3"/>
      <c r="B16" s="3"/>
      <c r="C16" s="9" t="s">
        <v>70</v>
      </c>
      <c r="D16" s="3"/>
      <c r="E16" s="12" t="str">
        <f t="array" ref="E16:K31">computeLongitudesAllMethodsLatitude(D$5,$D$12,$D$11,4)</f>
        <v>262°12'00''</v>
      </c>
      <c r="F16" s="12" t="str">
        <v>262°12'00''</v>
      </c>
      <c r="G16" s="12" t="str">
        <v>262°12'00''</v>
      </c>
      <c r="H16" s="12" t="str">
        <v>262°12'00''</v>
      </c>
      <c r="I16" s="12" t="str">
        <v>262°12'00''</v>
      </c>
      <c r="J16" s="12" t="str">
        <v>262°12'00''</v>
      </c>
      <c r="K16" s="12" t="str">
        <v>262°12'00''</v>
      </c>
      <c r="L16" s="3"/>
    </row>
    <row r="17" spans="1:12" x14ac:dyDescent="0.3">
      <c r="A17" s="3"/>
      <c r="B17" s="3"/>
      <c r="C17" s="9" t="s">
        <v>76</v>
      </c>
      <c r="D17" s="3"/>
      <c r="E17" s="12" t="str">
        <v>300°26'01''</v>
      </c>
      <c r="F17" s="12" t="str">
        <v>297°53'01''</v>
      </c>
      <c r="G17" s="12" t="str">
        <v>300°55'55''</v>
      </c>
      <c r="H17" s="12" t="str">
        <v>309°07'22''</v>
      </c>
      <c r="I17" s="12" t="str">
        <v>295°27'53''</v>
      </c>
      <c r="J17" s="12" t="str">
        <v>289°51'39''</v>
      </c>
      <c r="K17" s="12" t="str">
        <v>292°12'00''</v>
      </c>
      <c r="L17" s="3"/>
    </row>
    <row r="18" spans="1:12" x14ac:dyDescent="0.3">
      <c r="A18" s="3"/>
      <c r="B18" s="3"/>
      <c r="C18" s="9" t="s">
        <v>77</v>
      </c>
      <c r="D18" s="3"/>
      <c r="E18" s="12" t="str">
        <v>343°27'58''</v>
      </c>
      <c r="F18" s="12" t="str">
        <v>336°43'20''</v>
      </c>
      <c r="G18" s="12" t="str">
        <v>339°39'50''</v>
      </c>
      <c r="H18" s="12" t="str">
        <v>353°08'02''</v>
      </c>
      <c r="I18" s="12" t="str">
        <v>341°59'16''</v>
      </c>
      <c r="J18" s="12" t="str">
        <v>319°03'36''</v>
      </c>
      <c r="K18" s="12" t="str">
        <v>322°12'00''</v>
      </c>
      <c r="L18" s="3"/>
    </row>
    <row r="19" spans="1:12" x14ac:dyDescent="0.3">
      <c r="A19" s="3"/>
      <c r="B19" s="3"/>
      <c r="C19" s="9" t="s">
        <v>78</v>
      </c>
      <c r="D19" s="3"/>
      <c r="E19" s="12" t="str">
        <v>18°23'46''</v>
      </c>
      <c r="F19" s="12" t="str">
        <v>18°23'46''</v>
      </c>
      <c r="G19" s="12" t="str">
        <v>18°23'46''</v>
      </c>
      <c r="H19" s="12" t="str">
        <v>18°23'46''</v>
      </c>
      <c r="I19" s="12" t="str">
        <v>18°23'46''</v>
      </c>
      <c r="J19" s="12" t="str">
        <v>350°44'43''</v>
      </c>
      <c r="K19" s="12" t="str">
        <v>352°12'00''</v>
      </c>
      <c r="L19" s="3"/>
    </row>
    <row r="20" spans="1:12" x14ac:dyDescent="0.3">
      <c r="A20" s="3"/>
      <c r="B20" s="3"/>
      <c r="C20" s="9" t="s">
        <v>79</v>
      </c>
      <c r="D20" s="3"/>
      <c r="E20" s="12" t="str">
        <v>43°52'07''</v>
      </c>
      <c r="F20" s="12" t="str">
        <v>40°54'57''</v>
      </c>
      <c r="G20" s="12" t="str">
        <v>39°39'50''</v>
      </c>
      <c r="H20" s="12" t="str">
        <v>36°15'29''</v>
      </c>
      <c r="I20" s="12" t="str">
        <v>41°32'10''</v>
      </c>
      <c r="J20" s="12" t="str">
        <v>23°15'08''</v>
      </c>
      <c r="K20" s="12" t="str">
        <v>22°12'00''</v>
      </c>
      <c r="L20" s="3"/>
    </row>
    <row r="21" spans="1:12" x14ac:dyDescent="0.3">
      <c r="A21" s="3"/>
      <c r="B21" s="3"/>
      <c r="C21" s="9" t="s">
        <v>80</v>
      </c>
      <c r="D21" s="3"/>
      <c r="E21" s="12" t="str">
        <v>63°56'25''</v>
      </c>
      <c r="F21" s="12" t="str">
        <v>62°05'36''</v>
      </c>
      <c r="G21" s="12" t="str">
        <v>60°55'55''</v>
      </c>
      <c r="H21" s="12" t="str">
        <v>54°40'32''</v>
      </c>
      <c r="I21" s="12" t="str">
        <v>60°27'52''</v>
      </c>
      <c r="J21" s="12" t="str">
        <v>53°53'55''</v>
      </c>
      <c r="K21" s="12" t="str">
        <v>52°12'00''</v>
      </c>
      <c r="L21" s="3"/>
    </row>
    <row r="22" spans="1:12" x14ac:dyDescent="0.3">
      <c r="A22" s="3"/>
      <c r="B22" s="3"/>
      <c r="C22" s="3"/>
      <c r="D22" s="3"/>
      <c r="E22" s="12" t="str">
        <v/>
      </c>
      <c r="F22" s="12" t="str">
        <v/>
      </c>
      <c r="G22" s="12" t="str">
        <v/>
      </c>
      <c r="H22" s="12" t="str">
        <v/>
      </c>
      <c r="I22" s="12" t="str">
        <v/>
      </c>
      <c r="J22" s="12" t="str">
        <v/>
      </c>
      <c r="K22" s="12" t="str">
        <v/>
      </c>
      <c r="L22" s="3"/>
    </row>
    <row r="23" spans="1:12" x14ac:dyDescent="0.3">
      <c r="A23" s="3"/>
      <c r="B23" s="3"/>
      <c r="C23" s="3"/>
      <c r="D23" s="3"/>
      <c r="E23" s="12" t="str">
        <v/>
      </c>
      <c r="F23" s="12" t="str">
        <v/>
      </c>
      <c r="G23" s="12" t="str">
        <v/>
      </c>
      <c r="H23" s="12" t="str">
        <v/>
      </c>
      <c r="I23" s="12" t="str">
        <v/>
      </c>
      <c r="J23" s="12" t="str">
        <v/>
      </c>
      <c r="K23" s="12" t="str">
        <v/>
      </c>
      <c r="L23" s="3"/>
    </row>
    <row r="24" spans="1:12" x14ac:dyDescent="0.3">
      <c r="A24" s="3"/>
      <c r="B24" s="3"/>
      <c r="C24" s="3"/>
      <c r="D24" s="3"/>
      <c r="E24" s="12" t="str">
        <v/>
      </c>
      <c r="F24" s="12" t="str">
        <v/>
      </c>
      <c r="G24" s="12" t="str">
        <v/>
      </c>
      <c r="H24" s="12" t="str">
        <v/>
      </c>
      <c r="I24" s="12" t="str">
        <v/>
      </c>
      <c r="J24" s="12" t="str">
        <v/>
      </c>
      <c r="K24" s="12" t="str">
        <v/>
      </c>
      <c r="L24" s="3"/>
    </row>
    <row r="25" spans="1:12" x14ac:dyDescent="0.3">
      <c r="A25" s="3"/>
      <c r="B25" s="3"/>
      <c r="C25" s="9" t="s">
        <v>36</v>
      </c>
      <c r="D25" s="3"/>
      <c r="E25" s="12" t="str">
        <v/>
      </c>
      <c r="F25" s="12" t="str">
        <v/>
      </c>
      <c r="G25" s="12" t="str">
        <v/>
      </c>
      <c r="H25" s="12" t="str">
        <v/>
      </c>
      <c r="I25" s="12" t="str">
        <v/>
      </c>
      <c r="J25" s="12" t="str">
        <v/>
      </c>
      <c r="K25" s="12" t="str">
        <v/>
      </c>
      <c r="L25" s="3"/>
    </row>
    <row r="26" spans="1:12" x14ac:dyDescent="0.3">
      <c r="A26" s="3"/>
      <c r="B26" s="3"/>
      <c r="C26" s="9" t="s">
        <v>70</v>
      </c>
      <c r="D26" s="3"/>
      <c r="E26" s="12" t="str">
        <v>261°30'10''</v>
      </c>
      <c r="F26" s="12" t="str">
        <v>261°30'10''</v>
      </c>
      <c r="G26" s="12" t="str">
        <v>261°30'10''</v>
      </c>
      <c r="H26" s="12" t="str">
        <v>286°57'30''</v>
      </c>
      <c r="I26" s="12" t="str">
        <v>286°57'30''</v>
      </c>
      <c r="J26" s="12" t="str">
        <v>261°30'10''</v>
      </c>
      <c r="K26" s="12" t="str">
        <v>261°30'10''</v>
      </c>
      <c r="L26" s="3"/>
    </row>
    <row r="27" spans="1:12" x14ac:dyDescent="0.3">
      <c r="A27" s="3"/>
      <c r="B27" s="3"/>
      <c r="C27" s="9" t="s">
        <v>76</v>
      </c>
      <c r="D27" s="3"/>
      <c r="E27" s="12" t="str">
        <v>302°38'57''</v>
      </c>
      <c r="F27" s="12" t="str">
        <v>299°59'17''</v>
      </c>
      <c r="G27" s="12" t="str">
        <v>303°10'02''</v>
      </c>
      <c r="H27" s="12" t="str">
        <v>326°09'56''</v>
      </c>
      <c r="I27" s="12" t="str">
        <v>316°57'30''</v>
      </c>
      <c r="J27" s="12" t="str">
        <v>291°30'10''</v>
      </c>
      <c r="K27" s="12" t="str">
        <v>293°59'35''</v>
      </c>
      <c r="L27" s="3"/>
    </row>
    <row r="28" spans="1:12" x14ac:dyDescent="0.3">
      <c r="A28" s="3"/>
      <c r="B28" s="3"/>
      <c r="C28" s="9" t="s">
        <v>77</v>
      </c>
      <c r="D28" s="3"/>
      <c r="E28" s="12" t="str">
        <v>344°46'26''</v>
      </c>
      <c r="F28" s="12" t="str">
        <v>338°28'23''</v>
      </c>
      <c r="G28" s="12" t="str">
        <v>341°13'52''</v>
      </c>
      <c r="H28" s="12" t="str">
        <v>354°44'00''</v>
      </c>
      <c r="I28" s="12" t="str">
        <v>346°57'30''</v>
      </c>
      <c r="J28" s="12" t="str">
        <v>321°30'10''</v>
      </c>
      <c r="K28" s="12" t="str">
        <v>324°34'45''</v>
      </c>
      <c r="L28" s="3"/>
    </row>
    <row r="29" spans="1:12" x14ac:dyDescent="0.3">
      <c r="A29" s="3"/>
      <c r="B29" s="3"/>
      <c r="C29" s="9" t="s">
        <v>78</v>
      </c>
      <c r="D29" s="3"/>
      <c r="E29" s="12" t="str">
        <v>16°57'30''</v>
      </c>
      <c r="F29" s="12" t="str">
        <v>16°57'30''</v>
      </c>
      <c r="G29" s="12" t="str">
        <v>16°57'30''</v>
      </c>
      <c r="H29" s="12" t="str">
        <v>16°57'30''</v>
      </c>
      <c r="I29" s="12" t="str">
        <v>16°57'30''</v>
      </c>
      <c r="J29" s="12" t="str">
        <v>351°30'10''</v>
      </c>
      <c r="K29" s="12" t="str">
        <v>352°50'29''</v>
      </c>
      <c r="L29" s="3"/>
    </row>
    <row r="30" spans="1:12" x14ac:dyDescent="0.3">
      <c r="A30" s="3"/>
      <c r="B30" s="3"/>
      <c r="C30" s="9" t="s">
        <v>79</v>
      </c>
      <c r="D30" s="3"/>
      <c r="E30" s="12" t="str">
        <v>41°23'31''</v>
      </c>
      <c r="F30" s="12" t="str">
        <v>38°28'23''</v>
      </c>
      <c r="G30" s="12" t="str">
        <v>37°14'37''</v>
      </c>
      <c r="H30" s="12" t="str">
        <v>39°11'00''</v>
      </c>
      <c r="I30" s="12" t="str">
        <v>46°57'30''</v>
      </c>
      <c r="J30" s="12" t="str">
        <v>21°30'10''</v>
      </c>
      <c r="K30" s="12" t="str">
        <v>20°30'52''</v>
      </c>
      <c r="L30" s="3"/>
    </row>
    <row r="31" spans="1:12" x14ac:dyDescent="0.3">
      <c r="A31" s="3"/>
      <c r="B31" s="3"/>
      <c r="C31" s="9" t="s">
        <v>80</v>
      </c>
      <c r="D31" s="3"/>
      <c r="E31" s="12" t="str">
        <v>61°55'36''</v>
      </c>
      <c r="F31" s="12" t="str">
        <v>59°59'17''</v>
      </c>
      <c r="G31" s="12" t="str">
        <v>58°46'25''</v>
      </c>
      <c r="H31" s="12" t="str">
        <v>67°45'04''</v>
      </c>
      <c r="I31" s="12" t="str">
        <v>76°57'30''</v>
      </c>
      <c r="J31" s="12" t="str">
        <v>51°30'10''</v>
      </c>
      <c r="K31" s="12" t="str">
        <v>49°46'08''</v>
      </c>
      <c r="L31" s="3"/>
    </row>
    <row r="32" spans="1:12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</row>
    <row r="33" spans="1:18" x14ac:dyDescent="0.3">
      <c r="A33" s="28" t="s">
        <v>62</v>
      </c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3"/>
    </row>
    <row r="34" spans="1:18" x14ac:dyDescent="0.3"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R34" s="10"/>
    </row>
    <row r="35" spans="1:18" x14ac:dyDescent="0.3">
      <c r="B35" s="3"/>
      <c r="C35" s="9" t="s">
        <v>20</v>
      </c>
      <c r="D35" s="11" t="s">
        <v>41</v>
      </c>
      <c r="E35" s="3"/>
      <c r="F35" s="3"/>
      <c r="G35" s="3"/>
      <c r="H35" s="3"/>
      <c r="I35" s="3"/>
      <c r="J35" s="3"/>
      <c r="K35" s="3"/>
      <c r="L35" s="3"/>
      <c r="R35" s="10"/>
    </row>
    <row r="36" spans="1:18" x14ac:dyDescent="0.3">
      <c r="A36" s="3"/>
      <c r="B36" s="3"/>
      <c r="C36" s="3" t="s">
        <v>52</v>
      </c>
      <c r="D36" s="3" t="s">
        <v>37</v>
      </c>
      <c r="E36" s="3" t="s">
        <v>38</v>
      </c>
      <c r="F36" s="3" t="s">
        <v>39</v>
      </c>
      <c r="G36" s="3" t="s">
        <v>40</v>
      </c>
      <c r="H36" s="3" t="s">
        <v>41</v>
      </c>
      <c r="I36" s="3" t="s">
        <v>42</v>
      </c>
      <c r="J36" s="3" t="s">
        <v>43</v>
      </c>
      <c r="K36" s="3" t="s">
        <v>43</v>
      </c>
      <c r="L36" s="3"/>
      <c r="R36" s="10"/>
    </row>
    <row r="37" spans="1:18" x14ac:dyDescent="0.3">
      <c r="A37" s="3"/>
      <c r="B37" s="3"/>
      <c r="E37" s="3"/>
      <c r="F37" s="3"/>
      <c r="G37" s="3"/>
      <c r="H37" s="3"/>
      <c r="I37" s="3"/>
      <c r="J37" s="3"/>
      <c r="K37" s="3"/>
      <c r="L37" s="3"/>
      <c r="R37" s="10"/>
    </row>
    <row r="38" spans="1:18" x14ac:dyDescent="0.3">
      <c r="A38" s="3"/>
      <c r="B38" s="3"/>
      <c r="C38" s="3"/>
      <c r="D38" s="3"/>
      <c r="E38" s="9" t="s">
        <v>34</v>
      </c>
      <c r="F38" s="3"/>
      <c r="G38" s="3"/>
      <c r="H38" s="3"/>
      <c r="I38" s="3"/>
      <c r="J38" s="3"/>
      <c r="K38" s="3"/>
      <c r="L38" s="3"/>
    </row>
    <row r="39" spans="1:18" x14ac:dyDescent="0.3">
      <c r="A39" s="3"/>
      <c r="B39" s="3"/>
      <c r="C39" s="9" t="s">
        <v>35</v>
      </c>
      <c r="D39" s="9" t="s">
        <v>64</v>
      </c>
      <c r="E39" s="9">
        <v>0</v>
      </c>
      <c r="F39" s="9">
        <v>1</v>
      </c>
      <c r="G39" s="9">
        <v>2</v>
      </c>
      <c r="H39" s="9">
        <v>3</v>
      </c>
      <c r="I39" s="9">
        <v>4</v>
      </c>
      <c r="J39" s="9">
        <v>5</v>
      </c>
      <c r="K39" s="9">
        <v>6</v>
      </c>
      <c r="L39" s="3"/>
    </row>
    <row r="40" spans="1:18" x14ac:dyDescent="0.3">
      <c r="A40" s="3"/>
      <c r="B40" s="3"/>
      <c r="C40" s="9" t="s">
        <v>70</v>
      </c>
      <c r="D40" s="11" t="s">
        <v>32</v>
      </c>
      <c r="E40" s="12" t="str" cm="1">
        <f t="array" ref="E40:K70">computeLongitudesAllMethodsLongitude($D$5,$D$40:$D$45,$D$35,3)</f>
        <v>269°12'00"</v>
      </c>
      <c r="F40" s="12" t="str">
        <v>269°12'00"</v>
      </c>
      <c r="G40" s="12" t="str">
        <v>269°12'00"</v>
      </c>
      <c r="H40" s="12" t="str">
        <v>269°12'00"</v>
      </c>
      <c r="I40" s="12" t="str">
        <v>269°12'00"</v>
      </c>
      <c r="J40" s="12" t="str">
        <v>269°12'00"</v>
      </c>
      <c r="K40" s="12" t="str">
        <v>269°12'00"</v>
      </c>
      <c r="L40" s="3"/>
    </row>
    <row r="41" spans="1:18" x14ac:dyDescent="0.3">
      <c r="A41" s="3"/>
      <c r="B41" s="3"/>
      <c r="C41" s="9" t="s">
        <v>76</v>
      </c>
      <c r="D41" s="11" t="s">
        <v>44</v>
      </c>
      <c r="E41" s="12" t="str">
        <v>309°56'31"</v>
      </c>
      <c r="F41" s="12" t="str">
        <v>305°20'08"</v>
      </c>
      <c r="G41" s="12" t="str">
        <v>308°24'40"</v>
      </c>
      <c r="H41" s="12" t="str">
        <v>319°44'24"</v>
      </c>
      <c r="I41" s="12" t="str">
        <v>305°08'30"</v>
      </c>
      <c r="J41" s="12" t="str">
        <v>297°03'46"</v>
      </c>
      <c r="K41" s="12" t="str">
        <v>299°12'00"</v>
      </c>
      <c r="L41" s="3"/>
    </row>
    <row r="42" spans="1:18" x14ac:dyDescent="0.3">
      <c r="A42" s="3"/>
      <c r="B42" s="3"/>
      <c r="C42" s="9" t="s">
        <v>77</v>
      </c>
      <c r="D42" s="11" t="s">
        <v>45</v>
      </c>
      <c r="E42" s="12" t="str">
        <v>353°28'47"</v>
      </c>
      <c r="F42" s="12" t="str">
        <v>345°06'31"</v>
      </c>
      <c r="G42" s="12" t="str">
        <v>347°37'20"</v>
      </c>
      <c r="H42" s="12" t="str">
        <v>3°28'05"</v>
      </c>
      <c r="I42" s="12" t="str">
        <v>352°52'47"</v>
      </c>
      <c r="J42" s="12" t="str">
        <v>326°53'40"</v>
      </c>
      <c r="K42" s="12" t="str">
        <v>329°12'00"</v>
      </c>
      <c r="L42" s="3"/>
    </row>
    <row r="43" spans="1:18" x14ac:dyDescent="0.3">
      <c r="A43" s="3"/>
      <c r="B43" s="3"/>
      <c r="C43" s="9" t="s">
        <v>78</v>
      </c>
      <c r="D43" s="11" t="s">
        <v>46</v>
      </c>
      <c r="E43" s="12" t="str">
        <v>26°50'00"</v>
      </c>
      <c r="F43" s="12" t="str">
        <v>26°50'00"</v>
      </c>
      <c r="G43" s="12" t="str">
        <v>26°50'00"</v>
      </c>
      <c r="H43" s="12" t="str">
        <v>26°50'00"</v>
      </c>
      <c r="I43" s="12" t="str">
        <v>26°50'00"</v>
      </c>
      <c r="J43" s="12" t="str">
        <v>359°02'54"</v>
      </c>
      <c r="K43" s="12" t="str">
        <v>359°12'00"</v>
      </c>
      <c r="L43" s="3"/>
    </row>
    <row r="44" spans="1:18" x14ac:dyDescent="0.3">
      <c r="A44" s="3"/>
      <c r="B44" s="3"/>
      <c r="C44" s="9" t="s">
        <v>79</v>
      </c>
      <c r="D44" s="11" t="s">
        <v>47</v>
      </c>
      <c r="E44" s="12" t="str">
        <v>50°59'50"</v>
      </c>
      <c r="F44" s="12" t="str">
        <v>48°46'23"</v>
      </c>
      <c r="G44" s="12" t="str">
        <v>47°37'20"</v>
      </c>
      <c r="H44" s="12" t="str">
        <v>43°23'57"</v>
      </c>
      <c r="I44" s="12" t="str">
        <v>48°22'59"</v>
      </c>
      <c r="J44" s="12" t="str">
        <v>31°17'18"</v>
      </c>
      <c r="K44" s="12" t="str">
        <v>29°12'00"</v>
      </c>
      <c r="L44" s="3"/>
    </row>
    <row r="45" spans="1:18" x14ac:dyDescent="0.3">
      <c r="A45" s="3"/>
      <c r="B45" s="3"/>
      <c r="C45" s="9" t="s">
        <v>80</v>
      </c>
      <c r="D45" s="11" t="s">
        <v>48</v>
      </c>
      <c r="E45" s="12" t="str">
        <v>70°32'51"</v>
      </c>
      <c r="F45" s="12" t="str">
        <v>69°24'12"</v>
      </c>
      <c r="G45" s="12" t="str">
        <v>68°24'40"</v>
      </c>
      <c r="H45" s="12" t="str">
        <v>61°04'00"</v>
      </c>
      <c r="I45" s="12" t="str">
        <v>66°48'06"</v>
      </c>
      <c r="J45" s="12" t="str">
        <v>61°16'15"</v>
      </c>
      <c r="K45" s="12" t="str">
        <v>59°12'00"</v>
      </c>
      <c r="L45" s="3"/>
    </row>
    <row r="46" spans="1:18" x14ac:dyDescent="0.3">
      <c r="A46" s="3"/>
      <c r="B46" s="3"/>
      <c r="C46" s="3"/>
      <c r="D46" s="3"/>
      <c r="E46" s="12" t="str">
        <v/>
      </c>
      <c r="F46" s="12" t="str">
        <v/>
      </c>
      <c r="G46" s="12" t="str">
        <v/>
      </c>
      <c r="H46" s="12" t="str">
        <v/>
      </c>
      <c r="I46" s="12" t="str">
        <v/>
      </c>
      <c r="J46" s="12" t="str">
        <v/>
      </c>
      <c r="K46" s="12" t="str">
        <v/>
      </c>
      <c r="L46" s="3"/>
    </row>
    <row r="47" spans="1:18" x14ac:dyDescent="0.3">
      <c r="A47" s="3"/>
      <c r="B47" s="3"/>
      <c r="C47" s="3"/>
      <c r="D47" s="3"/>
      <c r="E47" s="12" t="str">
        <v/>
      </c>
      <c r="F47" s="12" t="str">
        <v/>
      </c>
      <c r="G47" s="12" t="str">
        <v/>
      </c>
      <c r="H47" s="12" t="str">
        <v/>
      </c>
      <c r="I47" s="12" t="str">
        <v/>
      </c>
      <c r="J47" s="12" t="str">
        <v/>
      </c>
      <c r="K47" s="12" t="str">
        <v/>
      </c>
      <c r="L47" s="3"/>
    </row>
    <row r="48" spans="1:18" x14ac:dyDescent="0.3">
      <c r="A48" s="3"/>
      <c r="B48" s="3"/>
      <c r="C48" s="3"/>
      <c r="D48" s="3"/>
      <c r="E48" s="12" t="str">
        <v/>
      </c>
      <c r="F48" s="12" t="str">
        <v/>
      </c>
      <c r="G48" s="12" t="str">
        <v/>
      </c>
      <c r="H48" s="12" t="str">
        <v/>
      </c>
      <c r="I48" s="12" t="str">
        <v/>
      </c>
      <c r="J48" s="12" t="str">
        <v/>
      </c>
      <c r="K48" s="12" t="str">
        <v/>
      </c>
      <c r="L48" s="3"/>
    </row>
    <row r="49" spans="1:12" x14ac:dyDescent="0.3">
      <c r="A49" s="3"/>
      <c r="B49" s="3"/>
      <c r="C49" s="9" t="s">
        <v>63</v>
      </c>
      <c r="D49" s="9"/>
      <c r="E49" s="13">
        <v>2.9249305555555498</v>
      </c>
      <c r="F49" s="13">
        <v>2.7424999999999757</v>
      </c>
      <c r="G49" s="13">
        <v>2.7277777777777845</v>
      </c>
      <c r="H49" s="13">
        <v>48.684861111111104</v>
      </c>
      <c r="I49" s="13">
        <v>1.597222222223731E-2</v>
      </c>
      <c r="J49" s="13">
        <v>14.187569444444454</v>
      </c>
      <c r="K49" s="13">
        <v>14.11666666666669</v>
      </c>
      <c r="L49" s="3"/>
    </row>
    <row r="50" spans="1:12" x14ac:dyDescent="0.3">
      <c r="A50" s="3"/>
      <c r="B50" s="3"/>
      <c r="C50" s="9" t="s">
        <v>70</v>
      </c>
      <c r="D50" s="3"/>
      <c r="E50" s="14">
        <v>0</v>
      </c>
      <c r="F50" s="14">
        <v>0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3"/>
    </row>
    <row r="51" spans="1:12" x14ac:dyDescent="0.3">
      <c r="A51" s="3"/>
      <c r="B51" s="3"/>
      <c r="C51" s="9" t="s">
        <v>76</v>
      </c>
      <c r="D51" s="3"/>
      <c r="E51" s="14">
        <v>4.7752777777777622</v>
      </c>
      <c r="F51" s="14">
        <v>0.16888888888882184</v>
      </c>
      <c r="G51" s="14">
        <v>3.2444444444444178</v>
      </c>
      <c r="H51" s="14">
        <v>14.573333333333309</v>
      </c>
      <c r="I51" s="14">
        <v>2.5000000000074778E-2</v>
      </c>
      <c r="J51" s="14">
        <v>8.103888888888914</v>
      </c>
      <c r="K51" s="14">
        <v>5.966666666666737</v>
      </c>
      <c r="L51" s="3"/>
    </row>
    <row r="52" spans="1:12" x14ac:dyDescent="0.3">
      <c r="A52" s="3"/>
      <c r="B52" s="3"/>
      <c r="C52" s="9" t="s">
        <v>77</v>
      </c>
      <c r="D52" s="3"/>
      <c r="E52" s="14">
        <v>0.5630555555555361</v>
      </c>
      <c r="F52" s="14">
        <v>7.8080555555555184</v>
      </c>
      <c r="G52" s="14">
        <v>5.294444444444494</v>
      </c>
      <c r="H52" s="14">
        <v>169.44861111111115</v>
      </c>
      <c r="I52" s="14">
        <v>3.69444444444266E-2</v>
      </c>
      <c r="J52" s="14">
        <v>26.022222222222243</v>
      </c>
      <c r="K52" s="14">
        <v>23.716666666666701</v>
      </c>
      <c r="L52" s="3"/>
    </row>
    <row r="53" spans="1:12" x14ac:dyDescent="0.3">
      <c r="A53" s="3"/>
      <c r="B53" s="3"/>
      <c r="C53" s="9" t="s">
        <v>78</v>
      </c>
      <c r="D53" s="3"/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152.21500000000003</v>
      </c>
      <c r="K53" s="14">
        <v>152.3666666666667</v>
      </c>
      <c r="L53" s="3"/>
    </row>
    <row r="54" spans="1:12" x14ac:dyDescent="0.3">
      <c r="A54" s="3"/>
      <c r="B54" s="3"/>
      <c r="C54" s="9" t="s">
        <v>79</v>
      </c>
      <c r="D54" s="3"/>
      <c r="E54" s="14">
        <v>2.6138888888888925</v>
      </c>
      <c r="F54" s="14">
        <v>0.38972222222222203</v>
      </c>
      <c r="G54" s="14">
        <v>0.76111111111110763</v>
      </c>
      <c r="H54" s="14">
        <v>4.9841666666666642</v>
      </c>
      <c r="I54" s="14">
        <v>2.7777777777281294E-4</v>
      </c>
      <c r="J54" s="14">
        <v>17.094999999999999</v>
      </c>
      <c r="K54" s="14">
        <v>19.183333333333334</v>
      </c>
      <c r="L54" s="3"/>
    </row>
    <row r="55" spans="1:12" x14ac:dyDescent="0.3">
      <c r="A55" s="3"/>
      <c r="B55" s="3"/>
      <c r="C55" s="9" t="s">
        <v>80</v>
      </c>
      <c r="D55" s="3"/>
      <c r="E55" s="14">
        <v>3.7475000000000085</v>
      </c>
      <c r="F55" s="14">
        <v>2.603333333333341</v>
      </c>
      <c r="G55" s="14">
        <v>1.6111111111111183</v>
      </c>
      <c r="H55" s="14">
        <v>5.7333333333333245</v>
      </c>
      <c r="I55" s="14">
        <v>1.6666666666750444E-3</v>
      </c>
      <c r="J55" s="14">
        <v>5.5291666666666623</v>
      </c>
      <c r="K55" s="14">
        <v>7.5999999999999854</v>
      </c>
      <c r="L55" s="3"/>
    </row>
    <row r="56" spans="1:12" x14ac:dyDescent="0.3">
      <c r="A56" s="3"/>
      <c r="B56" s="3"/>
      <c r="C56" s="3"/>
      <c r="D56" s="3"/>
      <c r="E56" s="14" t="str">
        <v/>
      </c>
      <c r="F56" s="14" t="str">
        <v/>
      </c>
      <c r="G56" s="14" t="str">
        <v/>
      </c>
      <c r="H56" s="14" t="str">
        <v/>
      </c>
      <c r="I56" s="14" t="str">
        <v/>
      </c>
      <c r="J56" s="14" t="str">
        <v/>
      </c>
      <c r="K56" s="14" t="str">
        <v/>
      </c>
      <c r="L56" s="3"/>
    </row>
    <row r="57" spans="1:12" x14ac:dyDescent="0.3">
      <c r="A57" s="3"/>
      <c r="B57" s="3"/>
      <c r="C57" s="3"/>
      <c r="D57" s="3"/>
      <c r="E57" s="12" t="str">
        <v/>
      </c>
      <c r="F57" s="12" t="str">
        <v/>
      </c>
      <c r="G57" s="12" t="str">
        <v/>
      </c>
      <c r="H57" s="12" t="str">
        <v/>
      </c>
      <c r="I57" s="12" t="str">
        <v/>
      </c>
      <c r="J57" s="12" t="str">
        <v/>
      </c>
      <c r="K57" s="12" t="str">
        <v/>
      </c>
      <c r="L57" s="3"/>
    </row>
    <row r="58" spans="1:12" x14ac:dyDescent="0.3">
      <c r="A58" s="3"/>
      <c r="B58" s="3"/>
      <c r="C58" s="9" t="s">
        <v>36</v>
      </c>
      <c r="D58" s="3"/>
      <c r="E58" s="12" t="str">
        <v/>
      </c>
      <c r="F58" s="12" t="str">
        <v/>
      </c>
      <c r="G58" s="12" t="str">
        <v/>
      </c>
      <c r="H58" s="12" t="str">
        <v/>
      </c>
      <c r="I58" s="12" t="str">
        <v/>
      </c>
      <c r="J58" s="12" t="str">
        <v/>
      </c>
      <c r="K58" s="12" t="str">
        <v/>
      </c>
      <c r="L58" s="3"/>
    </row>
    <row r="59" spans="1:12" x14ac:dyDescent="0.3">
      <c r="A59" s="3"/>
      <c r="B59" s="3"/>
      <c r="C59" s="9" t="s">
        <v>70</v>
      </c>
      <c r="D59" s="3"/>
      <c r="E59" s="12" t="str">
        <v>269°07'39"</v>
      </c>
      <c r="F59" s="12" t="str">
        <v>269°07'39"</v>
      </c>
      <c r="G59" s="12" t="str">
        <v>269°07'39"</v>
      </c>
      <c r="H59" s="12" t="str">
        <v>294°52'58"</v>
      </c>
      <c r="I59" s="12" t="str">
        <v>294°52'58"</v>
      </c>
      <c r="J59" s="12" t="str">
        <v>269°07'39"</v>
      </c>
      <c r="K59" s="12" t="str">
        <v>269°07'39"</v>
      </c>
      <c r="L59" s="3"/>
    </row>
    <row r="60" spans="1:12" x14ac:dyDescent="0.3">
      <c r="A60" s="3"/>
      <c r="B60" s="3"/>
      <c r="C60" s="9" t="s">
        <v>76</v>
      </c>
      <c r="D60" s="3"/>
      <c r="E60" s="12" t="str">
        <v>312°24'18"</v>
      </c>
      <c r="F60" s="12" t="str">
        <v>307°42'45"</v>
      </c>
      <c r="G60" s="12" t="str">
        <v>310°51'10"</v>
      </c>
      <c r="H60" s="12" t="str">
        <v>334°05'25"</v>
      </c>
      <c r="I60" s="12" t="str">
        <v>324°52'58"</v>
      </c>
      <c r="J60" s="12" t="str">
        <v>299°07'39"</v>
      </c>
      <c r="K60" s="12" t="str">
        <v>301°21'51"</v>
      </c>
      <c r="L60" s="3"/>
    </row>
    <row r="61" spans="1:12" x14ac:dyDescent="0.3">
      <c r="A61" s="3"/>
      <c r="B61" s="3"/>
      <c r="C61" s="9" t="s">
        <v>77</v>
      </c>
      <c r="D61" s="3"/>
      <c r="E61" s="12" t="str">
        <v>354°01'03"</v>
      </c>
      <c r="F61" s="12" t="str">
        <v>346°17'52"</v>
      </c>
      <c r="G61" s="12" t="str">
        <v>348°37'23"</v>
      </c>
      <c r="H61" s="12" t="str">
        <v>2°39'29"</v>
      </c>
      <c r="I61" s="12" t="str">
        <v>354°52'58"</v>
      </c>
      <c r="J61" s="12" t="str">
        <v>329°07'39"</v>
      </c>
      <c r="K61" s="12" t="str">
        <v>331°20'25"</v>
      </c>
      <c r="L61" s="3"/>
    </row>
    <row r="62" spans="1:12" x14ac:dyDescent="0.3">
      <c r="A62" s="3"/>
      <c r="B62" s="3"/>
      <c r="C62" s="9" t="s">
        <v>78</v>
      </c>
      <c r="D62" s="3"/>
      <c r="E62" s="12" t="str">
        <v>24°52'58"</v>
      </c>
      <c r="F62" s="12" t="str">
        <v>24°52'58"</v>
      </c>
      <c r="G62" s="12" t="str">
        <v>24°52'58"</v>
      </c>
      <c r="H62" s="12" t="str">
        <v>24°52'58"</v>
      </c>
      <c r="I62" s="12" t="str">
        <v>24°52'58"</v>
      </c>
      <c r="J62" s="12" t="str">
        <v>359°07'39"</v>
      </c>
      <c r="K62" s="12" t="str">
        <v>359°15'59"</v>
      </c>
      <c r="L62" s="3"/>
    </row>
    <row r="63" spans="1:12" x14ac:dyDescent="0.3">
      <c r="A63" s="3"/>
      <c r="B63" s="3"/>
      <c r="C63" s="9" t="s">
        <v>79</v>
      </c>
      <c r="D63" s="3"/>
      <c r="E63" s="12" t="str">
        <v>48°32'48"</v>
      </c>
      <c r="F63" s="12" t="str">
        <v>46°17'52"</v>
      </c>
      <c r="G63" s="12" t="str">
        <v>45°08'24"</v>
      </c>
      <c r="H63" s="12" t="str">
        <v>47°06'28"</v>
      </c>
      <c r="I63" s="12" t="str">
        <v>54°52'58"</v>
      </c>
      <c r="J63" s="12" t="str">
        <v>29°07'39"</v>
      </c>
      <c r="K63" s="12" t="str">
        <v>27°07'55"</v>
      </c>
      <c r="L63" s="3"/>
    </row>
    <row r="64" spans="1:12" x14ac:dyDescent="0.3">
      <c r="A64" s="3"/>
      <c r="B64" s="3"/>
      <c r="C64" s="9" t="s">
        <v>80</v>
      </c>
      <c r="D64" s="3"/>
      <c r="E64" s="12" t="str">
        <v>68°55'59"</v>
      </c>
      <c r="F64" s="12" t="str">
        <v>67°42'45"</v>
      </c>
      <c r="G64" s="12" t="str">
        <v>66°39'23"</v>
      </c>
      <c r="H64" s="12" t="str">
        <v>75°40'32"</v>
      </c>
      <c r="I64" s="12" t="str">
        <v>84°52'58"</v>
      </c>
      <c r="J64" s="12" t="str">
        <v>59°07'39"</v>
      </c>
      <c r="K64" s="12" t="str">
        <v>56°58'11"</v>
      </c>
      <c r="L64" s="3"/>
    </row>
    <row r="65" spans="1:12" x14ac:dyDescent="0.3">
      <c r="A65" s="3"/>
      <c r="B65" s="3"/>
      <c r="C65" s="3"/>
      <c r="D65" s="3"/>
      <c r="E65" s="12" t="str">
        <v/>
      </c>
      <c r="F65" s="12" t="str">
        <v/>
      </c>
      <c r="G65" s="12" t="str">
        <v/>
      </c>
      <c r="H65" s="12" t="str">
        <v/>
      </c>
      <c r="I65" s="12" t="str">
        <v/>
      </c>
      <c r="J65" s="12" t="str">
        <v/>
      </c>
      <c r="K65" s="12" t="str">
        <v/>
      </c>
      <c r="L65" s="3"/>
    </row>
    <row r="66" spans="1:12" x14ac:dyDescent="0.3">
      <c r="A66" s="3"/>
      <c r="B66" s="3"/>
      <c r="C66" s="3"/>
      <c r="D66" s="3"/>
      <c r="E66" s="12" t="str">
        <v/>
      </c>
      <c r="F66" s="12" t="str">
        <v/>
      </c>
      <c r="G66" s="12" t="str">
        <v/>
      </c>
      <c r="H66" s="12" t="str">
        <v/>
      </c>
      <c r="I66" s="12" t="str">
        <v/>
      </c>
      <c r="J66" s="12" t="str">
        <v/>
      </c>
      <c r="K66" s="12" t="str">
        <v/>
      </c>
      <c r="L66" s="3"/>
    </row>
    <row r="67" spans="1:12" x14ac:dyDescent="0.3">
      <c r="A67" s="3"/>
      <c r="B67" s="3"/>
      <c r="C67" s="9" t="s">
        <v>33</v>
      </c>
      <c r="D67" s="3"/>
      <c r="E67" s="12" t="str">
        <v/>
      </c>
      <c r="F67" s="12" t="str">
        <v/>
      </c>
      <c r="G67" s="12" t="str">
        <v/>
      </c>
      <c r="H67" s="12" t="str">
        <v/>
      </c>
      <c r="I67" s="12" t="str">
        <v/>
      </c>
      <c r="J67" s="12" t="str">
        <v/>
      </c>
      <c r="K67" s="12" t="str">
        <v/>
      </c>
      <c r="L67" s="3"/>
    </row>
    <row r="68" spans="1:12" x14ac:dyDescent="0.3">
      <c r="A68" s="3"/>
      <c r="B68" s="3"/>
      <c r="C68" s="3"/>
      <c r="D68" s="3"/>
      <c r="E68" s="12" t="str">
        <v/>
      </c>
      <c r="F68" s="12" t="str">
        <v>44°58'04"</v>
      </c>
      <c r="G68" s="12" t="str">
        <v/>
      </c>
      <c r="H68" s="12" t="str">
        <v/>
      </c>
      <c r="I68" s="12" t="str">
        <v/>
      </c>
      <c r="J68" s="12" t="str">
        <v/>
      </c>
      <c r="K68" s="12" t="str">
        <v/>
      </c>
      <c r="L68" s="3"/>
    </row>
    <row r="69" spans="1:12" x14ac:dyDescent="0.3">
      <c r="A69" s="3"/>
      <c r="B69" s="3"/>
      <c r="C69" s="3"/>
      <c r="D69" s="3"/>
      <c r="E69" s="12" t="str">
        <v>44°58'05"</v>
      </c>
      <c r="F69" s="12" t="str">
        <v>44°57'02"</v>
      </c>
      <c r="G69" s="12" t="str">
        <v>44°55'59"</v>
      </c>
      <c r="H69" s="12" t="str">
        <v/>
      </c>
      <c r="I69" s="12" t="str">
        <v/>
      </c>
      <c r="J69" s="12" t="str">
        <v/>
      </c>
      <c r="K69" s="12" t="str">
        <v/>
      </c>
      <c r="L69" s="3"/>
    </row>
    <row r="70" spans="1:12" x14ac:dyDescent="0.3">
      <c r="A70" s="3"/>
      <c r="B70" s="3"/>
      <c r="C70" s="3"/>
      <c r="D70" s="3"/>
      <c r="E70" s="12" t="str">
        <v/>
      </c>
      <c r="F70" s="12" t="str">
        <v>44°56'00"</v>
      </c>
      <c r="G70" s="12" t="str">
        <v/>
      </c>
      <c r="H70" s="12" t="str">
        <v/>
      </c>
      <c r="I70" s="12" t="str">
        <v/>
      </c>
      <c r="J70" s="12" t="str">
        <v/>
      </c>
      <c r="K70" s="12" t="str">
        <v/>
      </c>
      <c r="L70" s="3"/>
    </row>
    <row r="71" spans="1:12" x14ac:dyDescent="0.3">
      <c r="A71" s="3"/>
      <c r="B71" s="3"/>
      <c r="C71" s="9"/>
      <c r="D71" s="3"/>
      <c r="E71" s="12"/>
      <c r="F71" s="12"/>
      <c r="G71" s="12"/>
      <c r="H71" s="12"/>
      <c r="I71" s="12"/>
      <c r="J71" s="12"/>
      <c r="K71" s="12"/>
      <c r="L71" s="3"/>
    </row>
    <row r="72" spans="1:12" x14ac:dyDescent="0.3">
      <c r="A72" s="3"/>
      <c r="B72" s="3"/>
      <c r="C72" s="3"/>
      <c r="D72" s="3"/>
      <c r="E72" s="12"/>
      <c r="F72" s="12"/>
      <c r="G72" s="12"/>
      <c r="H72" s="12"/>
      <c r="I72" s="12"/>
      <c r="J72" s="12"/>
      <c r="K72" s="12"/>
      <c r="L72" s="3"/>
    </row>
    <row r="73" spans="1:12" x14ac:dyDescent="0.3">
      <c r="A73" s="3"/>
      <c r="B73" s="3"/>
      <c r="C73" s="3"/>
      <c r="D73" s="3"/>
      <c r="E73" s="12"/>
      <c r="F73" s="12"/>
      <c r="G73" s="12"/>
      <c r="H73" s="12"/>
      <c r="I73" s="12"/>
      <c r="J73" s="12"/>
      <c r="K73" s="12"/>
      <c r="L73" s="3"/>
    </row>
    <row r="74" spans="1:12" x14ac:dyDescent="0.3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</row>
  </sheetData>
  <phoneticPr fontId="2" type="noConversion"/>
  <dataValidations count="2">
    <dataValidation type="list" allowBlank="1" showInputMessage="1" showErrorMessage="1" sqref="D5" xr:uid="{FB5C0972-09B7-D74E-A805-1B1A766FBE7F}">
      <formula1>$D$6:$I$6</formula1>
    </dataValidation>
    <dataValidation type="list" allowBlank="1" showInputMessage="1" showErrorMessage="1" sqref="D35" xr:uid="{7EB8B204-BE61-8E44-9A1C-14962A502366}">
      <formula1>$D$36:$K$36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740FF-8725-464D-BB54-CB2E5BACDA83}">
  <sheetPr codeName="Feuil1"/>
  <dimension ref="A1:I60"/>
  <sheetViews>
    <sheetView workbookViewId="0"/>
  </sheetViews>
  <sheetFormatPr baseColWidth="10" defaultRowHeight="14.4" x14ac:dyDescent="0.3"/>
  <cols>
    <col min="1" max="1" width="26.109375" customWidth="1"/>
    <col min="2" max="2" width="11.33203125" customWidth="1"/>
  </cols>
  <sheetData>
    <row r="1" spans="1:9" x14ac:dyDescent="0.3">
      <c r="A1" s="31" t="s">
        <v>67</v>
      </c>
    </row>
    <row r="3" spans="1:9" x14ac:dyDescent="0.3">
      <c r="B3" t="s">
        <v>75</v>
      </c>
      <c r="C3" t="s">
        <v>6</v>
      </c>
    </row>
    <row r="4" spans="1:9" ht="28.8" x14ac:dyDescent="0.3">
      <c r="A4" s="34" t="s">
        <v>74</v>
      </c>
      <c r="B4" s="5" t="s">
        <v>58</v>
      </c>
      <c r="C4" s="6" cm="1">
        <f t="array" ref="C4">SexagesimalToRadian(B4)</f>
        <v>0.41117048294899744</v>
      </c>
    </row>
    <row r="5" spans="1:9" x14ac:dyDescent="0.3">
      <c r="A5" s="30" t="s">
        <v>69</v>
      </c>
      <c r="B5" s="2" t="s">
        <v>59</v>
      </c>
      <c r="C5" s="6" cm="1">
        <f t="array" ref="C5">SexagesimalToRadian(B5)</f>
        <v>3.0991229751245979</v>
      </c>
    </row>
    <row r="6" spans="1:9" x14ac:dyDescent="0.3">
      <c r="A6" s="30" t="s">
        <v>33</v>
      </c>
      <c r="B6" s="2" t="s">
        <v>60</v>
      </c>
      <c r="C6" s="6" cm="1">
        <f t="array" ref="C6">SexagesimalToRadian(B6)</f>
        <v>0.78539816339744828</v>
      </c>
    </row>
    <row r="7" spans="1:9" x14ac:dyDescent="0.3">
      <c r="B7" s="15"/>
    </row>
    <row r="8" spans="1:9" x14ac:dyDescent="0.3">
      <c r="C8" s="15" t="s">
        <v>2</v>
      </c>
      <c r="D8" s="15" t="s">
        <v>5</v>
      </c>
      <c r="E8" s="15" t="s">
        <v>7</v>
      </c>
      <c r="F8" s="15" t="s">
        <v>8</v>
      </c>
      <c r="G8" s="15" t="s">
        <v>9</v>
      </c>
      <c r="H8" s="15" t="s">
        <v>10</v>
      </c>
      <c r="I8" s="15" t="s">
        <v>11</v>
      </c>
    </row>
    <row r="9" spans="1:9" x14ac:dyDescent="0.3">
      <c r="B9" s="35" t="s">
        <v>71</v>
      </c>
      <c r="C9" s="24">
        <v>0</v>
      </c>
      <c r="D9" s="24">
        <v>1</v>
      </c>
      <c r="E9" s="24">
        <v>2</v>
      </c>
      <c r="F9" s="24">
        <v>3</v>
      </c>
      <c r="G9" s="24">
        <v>4</v>
      </c>
      <c r="H9" s="24">
        <v>5</v>
      </c>
      <c r="I9" s="24">
        <v>6</v>
      </c>
    </row>
    <row r="10" spans="1:9" x14ac:dyDescent="0.3">
      <c r="A10" s="35" t="s">
        <v>70</v>
      </c>
      <c r="B10" s="24">
        <v>1</v>
      </c>
      <c r="C10" s="7" cm="1">
        <f t="array" ref="C10">computeCuspFromLatitudeInRadian($C$4,  $C$6,$C$5,$B10,C$9,FALSE)</f>
        <v>3.0991229751245979</v>
      </c>
      <c r="D10" s="7" cm="1">
        <f t="array" ref="D10">computeCuspFromLatitudeInRadian($C$4,  $C$6,$C$5,$B10,D$9,FALSE)</f>
        <v>3.0991229751245979</v>
      </c>
      <c r="E10" s="7" cm="1">
        <f t="array" ref="E10">computeCuspFromLatitudeInRadian($C$4,  $C$6,$C$5,$B10,E$9,FALSE)</f>
        <v>3.0991229751245979</v>
      </c>
      <c r="F10" s="7" cm="1">
        <f t="array" ref="F10">computeCuspFromLatitudeInRadian($C$4,  $C$6,$C$5,$B10,F$9,FALSE)</f>
        <v>3.0991229751245974</v>
      </c>
      <c r="G10" s="7" cm="1">
        <f t="array" ref="G10">computeCuspFromLatitudeInRadian($C$4,  $C$6,$C$5,$B10,G$9,FALSE)</f>
        <v>3.0991229751245974</v>
      </c>
      <c r="H10" s="7" cm="1">
        <f t="array" ref="H10">computeCuspFromLatitudeInRadian($C$4,  $C$6,$C$5,$B10,H$9,FALSE)</f>
        <v>3.0991229751245979</v>
      </c>
      <c r="I10" s="7" cm="1">
        <f t="array" ref="I10">computeCuspFromLatitudeInRadian($C$4,  $C$6,$C$5,$B10,I$9,FALSE)</f>
        <v>3.0991229751245979</v>
      </c>
    </row>
    <row r="11" spans="1:9" x14ac:dyDescent="0.3">
      <c r="A11" s="35" t="s">
        <v>76</v>
      </c>
      <c r="B11" s="24">
        <v>2</v>
      </c>
      <c r="C11" s="7" cm="1">
        <f t="array" ref="C11">computeCuspFromLatitudeInRadian($C$4,  $C$6,$C$5,$B11,C$9,FALSE)</f>
        <v>3.5353094244130179</v>
      </c>
      <c r="D11" s="7" cm="1">
        <f t="array" ref="D11">computeCuspFromLatitudeInRadian($C$4,  $C$6,$C$5,$B11,D$9,FALSE)</f>
        <v>3.6570698030439459</v>
      </c>
      <c r="E11" s="7" cm="1">
        <f t="array" ref="E11">computeCuspFromLatitudeInRadian($C$4,  $C$6,$C$5,$B11,E$9,FALSE)</f>
        <v>3.6197932403311812</v>
      </c>
      <c r="F11" s="7" cm="1">
        <f t="array" ref="F11">computeCuspFromLatitudeInRadian($C$4,  $C$6,$C$5,$B11,F$9,FALSE)</f>
        <v>3.6518440412077178</v>
      </c>
      <c r="G11" s="7" cm="1">
        <f t="array" ref="G11">computeCuspFromLatitudeInRadian($C$4,  $C$6,$C$5,$B11,G$9,FALSE)</f>
        <v>3.5110096316347557</v>
      </c>
      <c r="H11" s="7" cm="1">
        <f t="array" ref="H11">computeCuspFromLatitudeInRadian($C$4,  $C$6,$C$5,$B11,H$9,FALSE)</f>
        <v>3.6629996281931589</v>
      </c>
      <c r="I11" s="7" cm="1">
        <f t="array" ref="I11">computeCuspFromLatitudeInRadian($C$4,  $C$6,$C$5,$B11,I$9,FALSE)</f>
        <v>3.6227217507228966</v>
      </c>
    </row>
    <row r="12" spans="1:9" x14ac:dyDescent="0.3">
      <c r="A12" s="35" t="s">
        <v>77</v>
      </c>
      <c r="B12" s="24">
        <v>3</v>
      </c>
      <c r="C12" s="7" cm="1">
        <f t="array" ref="C12">computeCuspFromLatitudeInRadian($C$4,  $C$6,$C$5,$B12,C$9,FALSE)</f>
        <v>4.0612952175416597</v>
      </c>
      <c r="D12" s="7" cm="1">
        <f t="array" ref="D12">computeCuspFromLatitudeInRadian($C$4,  $C$6,$C$5,$B12,D$9,FALSE)</f>
        <v>4.1774770499093545</v>
      </c>
      <c r="E12" s="7" cm="1">
        <f t="array" ref="E12">computeCuspFromLatitudeInRadian($C$4,  $C$6,$C$5,$B12,E$9,FALSE)</f>
        <v>4.140463505537765</v>
      </c>
      <c r="F12" s="7" cm="1">
        <f t="array" ref="F12">computeCuspFromLatitudeInRadian($C$4,  $C$6,$C$5,$B12,F$9,FALSE)</f>
        <v>4.1699733308677356</v>
      </c>
      <c r="G12" s="7" cm="1">
        <f t="array" ref="G12">computeCuspFromLatitudeInRadian($C$4,  $C$6,$C$5,$B12,G$9,FALSE)</f>
        <v>4.014462938327414</v>
      </c>
      <c r="H12" s="7" cm="1">
        <f t="array" ref="H12">computeCuspFromLatitudeInRadian($C$4,  $C$6,$C$5,$B12,H$9,FALSE)</f>
        <v>4.1883520579492899</v>
      </c>
      <c r="I12" s="7" cm="1">
        <f t="array" ref="I12">computeCuspFromLatitudeInRadian($C$4,  $C$6,$C$5,$B12,I$9,FALSE)</f>
        <v>4.1463205263211957</v>
      </c>
    </row>
    <row r="13" spans="1:9" x14ac:dyDescent="0.3">
      <c r="A13" s="35" t="s">
        <v>78</v>
      </c>
      <c r="B13" s="24">
        <v>4</v>
      </c>
      <c r="C13" s="7" cm="1">
        <f t="array" ref="C13">computeCuspFromLatitudeInRadian($C$4,  $C$6,$C$5,$B13,C$9,FALSE)</f>
        <v>4.6611337707443479</v>
      </c>
      <c r="D13" s="7" cm="1">
        <f t="array" ref="D13">computeCuspFromLatitudeInRadian($C$4,  $C$6,$C$5,$B13,D$9,FALSE)</f>
        <v>4.6611337707443479</v>
      </c>
      <c r="E13" s="7" cm="1">
        <f t="array" ref="E13">computeCuspFromLatitudeInRadian($C$4,  $C$6,$C$5,$B13,E$9,FALSE)</f>
        <v>4.6611337707443479</v>
      </c>
      <c r="F13" s="7" cm="1">
        <f t="array" ref="F13">computeCuspFromLatitudeInRadian($C$4,  $C$6,$C$5,$B13,F$9,FALSE)</f>
        <v>4.6611337707443479</v>
      </c>
      <c r="G13" s="7" cm="1">
        <f t="array" ref="G13">computeCuspFromLatitudeInRadian($C$4,  $C$6,$C$5,$B13,G$9,FALSE)</f>
        <v>4.6611337707443479</v>
      </c>
      <c r="H13" s="7" cm="1">
        <f t="array" ref="H13">computeCuspFromLatitudeInRadian($C$4,  $C$6,$C$5,$B13,H$9,FALSE)</f>
        <v>4.6766973615436012</v>
      </c>
      <c r="I13" s="7" cm="1">
        <f t="array" ref="I13">computeCuspFromLatitudeInRadian($C$4,  $C$6,$C$5,$B13,I$9,FALSE)</f>
        <v>4.669919301919494</v>
      </c>
    </row>
    <row r="14" spans="1:9" x14ac:dyDescent="0.3">
      <c r="A14" s="35" t="s">
        <v>79</v>
      </c>
      <c r="B14" s="24">
        <v>5</v>
      </c>
      <c r="C14" s="7" cm="1">
        <f t="array" ref="C14">computeCuspFromLatitudeInRadian($C$4,  $C$6,$C$5,$B14,C$9,FALSE)</f>
        <v>5.2639884696939143</v>
      </c>
      <c r="D14" s="7" cm="1">
        <f t="array" ref="D14">computeCuspFromLatitudeInRadian($C$4,  $C$6,$C$5,$B14,D$9,FALSE)</f>
        <v>5.1513390687038267</v>
      </c>
      <c r="E14" s="7" cm="1">
        <f t="array" ref="E14">computeCuspFromLatitudeInRadian($C$4,  $C$6,$C$5,$B14,E$9,FALSE)</f>
        <v>5.1876610567343624</v>
      </c>
      <c r="F14" s="7" cm="1">
        <f t="array" ref="F14">computeCuspFromLatitudeInRadian($C$4,  $C$6,$C$5,$B14,F$9,FALSE)</f>
        <v>5.1562318058536647</v>
      </c>
      <c r="G14" s="7" cm="1">
        <f t="array" ref="G14">computeCuspFromLatitudeInRadian($C$4,  $C$6,$C$5,$B14,G$9,FALSE)</f>
        <v>5.3142381401865002</v>
      </c>
      <c r="H14" s="7" cm="1">
        <f t="array" ref="H14">computeCuspFromLatitudeInRadian($C$4,  $C$6,$C$5,$B14,H$9,FALSE)</f>
        <v>5.16207537544273</v>
      </c>
      <c r="I14" s="7" cm="1">
        <f t="array" ref="I14">computeCuspFromLatitudeInRadian($C$4,  $C$6,$C$5,$B14,I$9,FALSE)</f>
        <v>5.1935180775177932</v>
      </c>
    </row>
    <row r="15" spans="1:9" x14ac:dyDescent="0.3">
      <c r="A15" s="35" t="s">
        <v>80</v>
      </c>
      <c r="B15" s="24">
        <v>6</v>
      </c>
      <c r="C15" s="7" cm="1">
        <f t="array" ref="C15">computeCuspFromLatitudeInRadian($C$4,  $C$6,$C$5,$B15,C$9,FALSE)</f>
        <v>5.7962795324475387</v>
      </c>
      <c r="D15" s="7" cm="1">
        <f t="array" ref="D15">computeCuspFromLatitudeInRadian($C$4,  $C$6,$C$5,$B15,D$9,FALSE)</f>
        <v>5.6748352276209424</v>
      </c>
      <c r="E15" s="7" cm="1">
        <f t="array" ref="E15">computeCuspFromLatitudeInRadian($C$4,  $C$6,$C$5,$B15,E$9,FALSE)</f>
        <v>5.7141883427243769</v>
      </c>
      <c r="F15" s="7" cm="1">
        <f t="array" ref="F15">computeCuspFromLatitudeInRadian($C$4,  $C$6,$C$5,$B15,F$9,FALSE)</f>
        <v>5.6831130315970082</v>
      </c>
      <c r="G15" s="7" cm="1">
        <f t="array" ref="G15">computeCuspFromLatitudeInRadian($C$4,  $C$6,$C$5,$B15,G$9,FALSE)</f>
        <v>5.8259944996023956</v>
      </c>
      <c r="H15" s="7" cm="1">
        <f t="array" ref="H15">computeCuspFromLatitudeInRadian($C$4,  $C$6,$C$5,$B15,H$9,FALSE)</f>
        <v>5.680687815255629</v>
      </c>
      <c r="I15" s="7" cm="1">
        <f t="array" ref="I15">computeCuspFromLatitudeInRadian($C$4,  $C$6,$C$5,$B15,I$9,FALSE)</f>
        <v>5.7171168531160923</v>
      </c>
    </row>
    <row r="17" spans="2:9" x14ac:dyDescent="0.3">
      <c r="B17" s="36" t="s">
        <v>72</v>
      </c>
      <c r="C17" t="str" cm="1">
        <f t="array" ref="C17">RadianToSexagesimal(C10)</f>
        <v>177°34'00"</v>
      </c>
      <c r="D17" t="str" cm="1">
        <f t="array" ref="D17">RadianToSexagesimal(D10)</f>
        <v>177°34'00"</v>
      </c>
      <c r="E17" t="str" cm="1">
        <f t="array" ref="E17">RadianToSexagesimal(E10)</f>
        <v>177°34'00"</v>
      </c>
      <c r="F17" t="str" cm="1">
        <f t="array" ref="F17">RadianToSexagesimal(F10)</f>
        <v>177°34'00"</v>
      </c>
      <c r="G17" t="str" cm="1">
        <f t="array" ref="G17">RadianToSexagesimal(G10)</f>
        <v>177°34'00"</v>
      </c>
      <c r="H17" t="str" cm="1">
        <f t="array" ref="H17">RadianToSexagesimal(H10)</f>
        <v>177°34'00"</v>
      </c>
      <c r="I17" t="str" cm="1">
        <f t="array" ref="I17">RadianToSexagesimal(I10)</f>
        <v>177°34'00"</v>
      </c>
    </row>
    <row r="18" spans="2:9" x14ac:dyDescent="0.3">
      <c r="C18" t="str" cm="1">
        <f t="array" ref="C18">RadianToSexagesimal(C11)</f>
        <v>202°33'30"</v>
      </c>
      <c r="D18" t="str" cm="1">
        <f t="array" ref="D18">RadianToSexagesimal(D11)</f>
        <v>209°32'05"</v>
      </c>
      <c r="E18" t="str" cm="1">
        <f t="array" ref="E18">RadianToSexagesimal(E11)</f>
        <v>207°23'56"</v>
      </c>
      <c r="F18" t="str" cm="1">
        <f t="array" ref="F18">RadianToSexagesimal(F11)</f>
        <v>209°14'07"</v>
      </c>
      <c r="G18" t="str" cm="1">
        <f t="array" ref="G18">RadianToSexagesimal(G11)</f>
        <v>201°09'58"</v>
      </c>
      <c r="H18" t="str" cm="1">
        <f t="array" ref="H18">RadianToSexagesimal(H11)</f>
        <v>209°52'28"</v>
      </c>
      <c r="I18" t="str" cm="1">
        <f t="array" ref="I18">RadianToSexagesimal(I11)</f>
        <v>207°34'00"</v>
      </c>
    </row>
    <row r="19" spans="2:9" x14ac:dyDescent="0.3">
      <c r="C19" t="str" cm="1">
        <f t="array" ref="C19">RadianToSexagesimal(C12)</f>
        <v>232°41'42"</v>
      </c>
      <c r="D19" t="str" cm="1">
        <f t="array" ref="D19">RadianToSexagesimal(D12)</f>
        <v>239°21'06"</v>
      </c>
      <c r="E19" t="str" cm="1">
        <f t="array" ref="E19">RadianToSexagesimal(E12)</f>
        <v>237°13'52"</v>
      </c>
      <c r="F19" t="str" cm="1">
        <f t="array" ref="F19">RadianToSexagesimal(F12)</f>
        <v>238°55'19"</v>
      </c>
      <c r="G19" t="str" cm="1">
        <f t="array" ref="G19">RadianToSexagesimal(G12)</f>
        <v>230°00'42"</v>
      </c>
      <c r="H19" t="str" cm="1">
        <f t="array" ref="H19">RadianToSexagesimal(H12)</f>
        <v>239°58'30"</v>
      </c>
      <c r="I19" t="str" cm="1">
        <f t="array" ref="I19">RadianToSexagesimal(I12)</f>
        <v>237°34'00"</v>
      </c>
    </row>
    <row r="20" spans="2:9" x14ac:dyDescent="0.3">
      <c r="C20" t="str" cm="1">
        <f t="array" ref="C20">RadianToSexagesimal(C13)</f>
        <v>267°03'48"</v>
      </c>
      <c r="D20" t="str" cm="1">
        <f t="array" ref="D20">RadianToSexagesimal(D13)</f>
        <v>267°03'48"</v>
      </c>
      <c r="E20" t="str" cm="1">
        <f t="array" ref="E20">RadianToSexagesimal(E13)</f>
        <v>267°03'48"</v>
      </c>
      <c r="F20" t="str" cm="1">
        <f t="array" ref="F20">RadianToSexagesimal(F13)</f>
        <v>267°03'48"</v>
      </c>
      <c r="G20" t="str" cm="1">
        <f t="array" ref="G20">RadianToSexagesimal(G13)</f>
        <v>267°03'48"</v>
      </c>
      <c r="H20" t="str" cm="1">
        <f t="array" ref="H20">RadianToSexagesimal(H13)</f>
        <v>267°57'18"</v>
      </c>
      <c r="I20" t="str" cm="1">
        <f t="array" ref="I20">RadianToSexagesimal(I13)</f>
        <v>267°34'00"</v>
      </c>
    </row>
    <row r="21" spans="2:9" x14ac:dyDescent="0.3">
      <c r="C21" t="str" cm="1">
        <f t="array" ref="C21">RadianToSexagesimal(C14)</f>
        <v>301°36'16"</v>
      </c>
      <c r="D21" t="str" cm="1">
        <f t="array" ref="D21">RadianToSexagesimal(D14)</f>
        <v>295°09'00"</v>
      </c>
      <c r="E21" t="str" cm="1">
        <f t="array" ref="E21">RadianToSexagesimal(E14)</f>
        <v>297°13'52"</v>
      </c>
      <c r="F21" t="str" cm="1">
        <f t="array" ref="F21">RadianToSexagesimal(F14)</f>
        <v>295°25'49"</v>
      </c>
      <c r="G21" t="str" cm="1">
        <f t="array" ref="G21">RadianToSexagesimal(G14)</f>
        <v>304°29'00"</v>
      </c>
      <c r="H21" t="str" cm="1">
        <f t="array" ref="H21">RadianToSexagesimal(H14)</f>
        <v>295°45'54"</v>
      </c>
      <c r="I21" t="str" cm="1">
        <f t="array" ref="I21">RadianToSexagesimal(I14)</f>
        <v>297°34'00"</v>
      </c>
    </row>
    <row r="22" spans="2:9" x14ac:dyDescent="0.3">
      <c r="C22" t="str" cm="1">
        <f t="array" ref="C22">RadianToSexagesimal(C15)</f>
        <v>332°06'08"</v>
      </c>
      <c r="D22" t="str" cm="1">
        <f t="array" ref="D22">RadianToSexagesimal(D15)</f>
        <v>325°08'39"</v>
      </c>
      <c r="E22" t="str" cm="1">
        <f t="array" ref="E22">RadianToSexagesimal(E15)</f>
        <v>327°23'56"</v>
      </c>
      <c r="F22" t="str" cm="1">
        <f t="array" ref="F22">RadianToSexagesimal(F15)</f>
        <v>325°37'06"</v>
      </c>
      <c r="G22" t="str" cm="1">
        <f t="array" ref="G22">RadianToSexagesimal(G15)</f>
        <v>333°48'18"</v>
      </c>
      <c r="H22" t="str" cm="1">
        <f t="array" ref="H22">RadianToSexagesimal(H15)</f>
        <v>325°28'46"</v>
      </c>
      <c r="I22" t="str" cm="1">
        <f t="array" ref="I22">RadianToSexagesimal(I15)</f>
        <v>327°34'00"</v>
      </c>
    </row>
    <row r="24" spans="2:9" x14ac:dyDescent="0.3">
      <c r="B24" s="37" t="s">
        <v>53</v>
      </c>
    </row>
    <row r="25" spans="2:9" x14ac:dyDescent="0.3">
      <c r="B25" s="24">
        <v>1</v>
      </c>
      <c r="C25" s="7" cm="1">
        <f t="array" ref="C25">computeCuspFromLatitudeInRadian($C$4, $C$6,$C$5, $B25,C$9, TRUE)</f>
        <v>3.1026589304299934</v>
      </c>
      <c r="D25" s="7" cm="1">
        <f t="array" ref="D25">computeCuspFromLatitudeInRadian($C$4, $C$6,$C$5, $B25,D$9, TRUE)</f>
        <v>3.1026589304299934</v>
      </c>
      <c r="E25" s="7" cm="1">
        <f t="array" ref="E25">computeCuspFromLatitudeInRadian($C$4, $C$6,$C$5, $B25,E$9, TRUE)</f>
        <v>3.1026589304299934</v>
      </c>
      <c r="F25" s="7" cm="1">
        <f t="array" ref="F25">computeCuspFromLatitudeInRadian($C$4, $C$6,$C$5, $B25,F$9, TRUE)</f>
        <v>3.0856863855875005</v>
      </c>
      <c r="G25" s="7" cm="1">
        <f t="array" ref="G25">computeCuspFromLatitudeInRadian($C$4, $C$6,$C$5, $B25,G$9, TRUE)</f>
        <v>3.0856863855875005</v>
      </c>
      <c r="H25" s="7" cm="1">
        <f t="array" ref="H25">computeCuspFromLatitudeInRadian($C$4, $C$6,$C$5, $B25,H$9, TRUE)</f>
        <v>3.1026589304299934</v>
      </c>
      <c r="I25" s="7" cm="1">
        <f t="array" ref="I25">computeCuspFromLatitudeInRadian($C$4, $C$6,$C$5, $B25,I$9, TRUE)</f>
        <v>3.1026589304299934</v>
      </c>
    </row>
    <row r="26" spans="2:9" x14ac:dyDescent="0.3">
      <c r="B26" s="24">
        <v>2</v>
      </c>
      <c r="C26" s="7" cm="1">
        <f t="array" ref="C26">computeCuspFromLatitudeInRadian($C$4, $C$6,$C$5, $B26,C$9, TRUE)</f>
        <v>3.5054243418239954</v>
      </c>
      <c r="D26" s="7" cm="1">
        <f t="array" ref="D26">computeCuspFromLatitudeInRadian($C$4, $C$6,$C$5, $B26,D$9, TRUE)</f>
        <v>3.6206001910807948</v>
      </c>
      <c r="E26" s="7" cm="1">
        <f t="array" ref="E26">computeCuspFromLatitudeInRadian($C$4, $C$6,$C$5, $B26,E$9, TRUE)</f>
        <v>3.5851432057606774</v>
      </c>
      <c r="F26" s="7" cm="1">
        <f t="array" ref="F26">computeCuspFromLatitudeInRadian($C$4, $C$6,$C$5, $B26,F$9, TRUE)</f>
        <v>3.7704055885897834</v>
      </c>
      <c r="G26" s="7" cm="1">
        <f t="array" ref="G26">computeCuspFromLatitudeInRadian($C$4, $C$6,$C$5, $B26,G$9, TRUE)</f>
        <v>3.6092851611857992</v>
      </c>
      <c r="H26" s="7" cm="1">
        <f t="array" ref="H26">computeCuspFromLatitudeInRadian($C$4, $C$6,$C$5, $B26,H$9, TRUE)</f>
        <v>3.6262577060282921</v>
      </c>
      <c r="I26" s="7" cm="1">
        <f t="array" ref="I26">computeCuspFromLatitudeInRadian($C$4, $C$6,$C$5, $B26,I$9, TRUE)</f>
        <v>3.5879221774267882</v>
      </c>
    </row>
    <row r="27" spans="2:9" x14ac:dyDescent="0.3">
      <c r="B27" s="24">
        <v>3</v>
      </c>
      <c r="C27" s="7" cm="1">
        <f t="array" ref="C27">computeCuspFromLatitudeInRadian($C$4, $C$6,$C$5, $B27,C$9, TRUE)</f>
        <v>4.018905106949326</v>
      </c>
      <c r="D27" s="7" cm="1">
        <f t="array" ref="D27">computeCuspFromLatitudeInRadian($C$4, $C$6,$C$5, $B27,D$9, TRUE)</f>
        <v>4.1385414517315962</v>
      </c>
      <c r="E27" s="7" cm="1">
        <f t="array" ref="E27">computeCuspFromLatitudeInRadian($C$4, $C$6,$C$5, $B27,E$9, TRUE)</f>
        <v>4.1001776039392253</v>
      </c>
      <c r="F27" s="7" cm="1">
        <f t="array" ref="F27">computeCuspFromLatitudeInRadian($C$4, $C$6,$C$5, $B27,F$9, TRUE)</f>
        <v>4.2688860257272161</v>
      </c>
      <c r="G27" s="7" cm="1">
        <f t="array" ref="G27">computeCuspFromLatitudeInRadian($C$4, $C$6,$C$5, $B27,G$9, TRUE)</f>
        <v>4.1328839367840979</v>
      </c>
      <c r="H27" s="7" cm="1">
        <f t="array" ref="H27">computeCuspFromLatitudeInRadian($C$4, $C$6,$C$5, $B27,H$9, TRUE)</f>
        <v>4.1498564816265908</v>
      </c>
      <c r="I27" s="7" cm="1">
        <f t="array" ref="I27">computeCuspFromLatitudeInRadian($C$4, $C$6,$C$5, $B27,I$9, TRUE)</f>
        <v>4.1062329794722681</v>
      </c>
    </row>
    <row r="28" spans="2:9" x14ac:dyDescent="0.3">
      <c r="B28" s="24">
        <v>4</v>
      </c>
      <c r="C28" s="7" cm="1">
        <f t="array" ref="C28">computeCuspFromLatitudeInRadian($C$4, $C$6,$C$5, $B28,C$9, TRUE)</f>
        <v>4.6564827123823971</v>
      </c>
      <c r="D28" s="7" cm="1">
        <f t="array" ref="D28">computeCuspFromLatitudeInRadian($C$4, $C$6,$C$5, $B28,D$9, TRUE)</f>
        <v>4.6564827123823971</v>
      </c>
      <c r="E28" s="7" cm="1">
        <f t="array" ref="E28">computeCuspFromLatitudeInRadian($C$4, $C$6,$C$5, $B28,E$9, TRUE)</f>
        <v>4.6564827123823971</v>
      </c>
      <c r="F28" s="7" cm="1">
        <f t="array" ref="F28">computeCuspFromLatitudeInRadian($C$4, $C$6,$C$5, $B28,F$9, TRUE)</f>
        <v>4.6564827123823971</v>
      </c>
      <c r="G28" s="7" cm="1">
        <f t="array" ref="G28">computeCuspFromLatitudeInRadian($C$4, $C$6,$C$5, $B28,G$9, TRUE)</f>
        <v>4.6564827123823971</v>
      </c>
      <c r="H28" s="7" cm="1">
        <f t="array" ref="H28">computeCuspFromLatitudeInRadian($C$4, $C$6,$C$5, $B28,H$9, TRUE)</f>
        <v>4.67345525722489</v>
      </c>
      <c r="I28" s="7" cm="1">
        <f t="array" ref="I28">computeCuspFromLatitudeInRadian($C$4, $C$6,$C$5, $B28,I$9, TRUE)</f>
        <v>4.6660630558923524</v>
      </c>
    </row>
    <row r="29" spans="2:9" x14ac:dyDescent="0.3">
      <c r="B29" s="24">
        <v>5</v>
      </c>
      <c r="C29" s="7" cm="1">
        <f t="array" ref="C29">computeCuspFromLatitudeInRadian($C$4, $C$6,$C$5, $B29,C$9, TRUE)</f>
        <v>5.3035612318679082</v>
      </c>
      <c r="D29" s="7" cm="1">
        <f t="array" ref="D29">computeCuspFromLatitudeInRadian($C$4, $C$6,$C$5, $B29,D$9, TRUE)</f>
        <v>5.1857390029281936</v>
      </c>
      <c r="E29" s="7" cm="1">
        <f t="array" ref="E29">computeCuspFromLatitudeInRadian($C$4, $C$6,$C$5, $B29,E$9, TRUE)</f>
        <v>5.2239481198398643</v>
      </c>
      <c r="F29" s="7" cm="1">
        <f t="array" ref="F29">computeCuspFromLatitudeInRadian($C$4, $C$6,$C$5, $B29,F$9, TRUE)</f>
        <v>5.0440793990375772</v>
      </c>
      <c r="G29" s="7" cm="1">
        <f t="array" ref="G29">computeCuspFromLatitudeInRadian($C$4, $C$6,$C$5, $B29,G$9, TRUE)</f>
        <v>5.1800814879806953</v>
      </c>
      <c r="H29" s="7" cm="1">
        <f t="array" ref="H29">computeCuspFromLatitudeInRadian($C$4, $C$6,$C$5, $B29,H$9, TRUE)</f>
        <v>5.1970540328231891</v>
      </c>
      <c r="I29" s="7" cm="1">
        <f t="array" ref="I29">computeCuspFromLatitudeInRadian($C$4, $C$6,$C$5, $B29,I$9, TRUE)</f>
        <v>5.2300903950220716</v>
      </c>
    </row>
    <row r="30" spans="2:9" x14ac:dyDescent="0.3">
      <c r="B30" s="24">
        <v>6</v>
      </c>
      <c r="C30" s="7" cm="1">
        <f t="array" ref="C30">computeCuspFromLatitudeInRadian($C$4, $C$6,$C$5, $B30,C$9, TRUE)</f>
        <v>5.8313708368389001</v>
      </c>
      <c r="D30" s="7" cm="1">
        <f t="array" ref="D30">computeCuspFromLatitudeInRadian($C$4, $C$6,$C$5, $B30,D$9, TRUE)</f>
        <v>5.71499529347399</v>
      </c>
      <c r="E30" s="7" cm="1">
        <f t="array" ref="E30">computeCuspFromLatitudeInRadian($C$4, $C$6,$C$5, $B30,E$9, TRUE)</f>
        <v>5.7529376010690054</v>
      </c>
      <c r="F30" s="7" cm="1">
        <f t="array" ref="F30">computeCuspFromLatitudeInRadian($C$4, $C$6,$C$5, $B30,F$9, TRUE)</f>
        <v>5.5425598361750108</v>
      </c>
      <c r="G30" s="7" cm="1">
        <f t="array" ref="G30">computeCuspFromLatitudeInRadian($C$4, $C$6,$C$5, $B30,G$9, TRUE)</f>
        <v>5.7036802635789954</v>
      </c>
      <c r="H30" s="7" cm="1">
        <f t="array" ref="H30">computeCuspFromLatitudeInRadian($C$4, $C$6,$C$5, $B30,H$9, TRUE)</f>
        <v>5.7206528084214874</v>
      </c>
      <c r="I30" s="7" cm="1">
        <f t="array" ref="I30">computeCuspFromLatitudeInRadian($C$4, $C$6,$C$5, $B30,I$9, TRUE)</f>
        <v>5.7557519431798152</v>
      </c>
    </row>
    <row r="32" spans="2:9" x14ac:dyDescent="0.3">
      <c r="B32" s="36" t="s">
        <v>73</v>
      </c>
      <c r="C32" t="str" cm="1">
        <f t="array" ref="C32">RadianToSexagesimal(C25)</f>
        <v>177°46'09"</v>
      </c>
      <c r="D32" t="str" cm="1">
        <f t="array" ref="D32">RadianToSexagesimal(D25)</f>
        <v>177°46'09"</v>
      </c>
      <c r="E32" t="str" cm="1">
        <f t="array" ref="E32">RadianToSexagesimal(E25)</f>
        <v>177°46'09"</v>
      </c>
      <c r="F32" t="str" cm="1">
        <f t="array" ref="F32">RadianToSexagesimal(F25)</f>
        <v>176°47'49"</v>
      </c>
      <c r="G32" t="str" cm="1">
        <f t="array" ref="G32">RadianToSexagesimal(G25)</f>
        <v>176°47'49"</v>
      </c>
      <c r="H32" t="str" cm="1">
        <f t="array" ref="H32">RadianToSexagesimal(H25)</f>
        <v>177°46'09"</v>
      </c>
      <c r="I32" t="str" cm="1">
        <f t="array" ref="I32">RadianToSexagesimal(I25)</f>
        <v>177°46'09"</v>
      </c>
    </row>
    <row r="33" spans="1:9" x14ac:dyDescent="0.3">
      <c r="C33" t="str" cm="1">
        <f t="array" ref="C33">RadianToSexagesimal(C26)</f>
        <v>200°50'46"</v>
      </c>
      <c r="D33" t="str" cm="1">
        <f t="array" ref="D33">RadianToSexagesimal(D26)</f>
        <v>207°26'42"</v>
      </c>
      <c r="E33" t="str" cm="1">
        <f t="array" ref="E33">RadianToSexagesimal(E26)</f>
        <v>205°24'49"</v>
      </c>
      <c r="F33" t="str" cm="1">
        <f t="array" ref="F33">RadianToSexagesimal(F26)</f>
        <v>216°01'42"</v>
      </c>
      <c r="G33" t="str" cm="1">
        <f t="array" ref="G33">RadianToSexagesimal(G26)</f>
        <v>206°47'49"</v>
      </c>
      <c r="H33" t="str" cm="1">
        <f t="array" ref="H33">RadianToSexagesimal(H26)</f>
        <v>207°46'09"</v>
      </c>
      <c r="I33" t="str" cm="1">
        <f t="array" ref="I33">RadianToSexagesimal(I26)</f>
        <v>205°34'22"</v>
      </c>
    </row>
    <row r="34" spans="1:9" x14ac:dyDescent="0.3">
      <c r="C34" t="str" cm="1">
        <f t="array" ref="C34">RadianToSexagesimal(C27)</f>
        <v>230°15'59"</v>
      </c>
      <c r="D34" t="str" cm="1">
        <f t="array" ref="D34">RadianToSexagesimal(D27)</f>
        <v>237°07'15"</v>
      </c>
      <c r="E34" t="str" cm="1">
        <f t="array" ref="E34">RadianToSexagesimal(E27)</f>
        <v>234°55'22"</v>
      </c>
      <c r="F34" t="str" cm="1">
        <f t="array" ref="F34">RadianToSexagesimal(F27)</f>
        <v>244°35'21"</v>
      </c>
      <c r="G34" t="str" cm="1">
        <f t="array" ref="G34">RadianToSexagesimal(G27)</f>
        <v>236°47'49"</v>
      </c>
      <c r="H34" t="str" cm="1">
        <f t="array" ref="H34">RadianToSexagesimal(H27)</f>
        <v>237°46'09"</v>
      </c>
      <c r="I34" t="str" cm="1">
        <f t="array" ref="I34">RadianToSexagesimal(I27)</f>
        <v>235°16'11"</v>
      </c>
    </row>
    <row r="35" spans="1:9" x14ac:dyDescent="0.3">
      <c r="C35" t="str" cm="1">
        <f t="array" ref="C35">RadianToSexagesimal(C28)</f>
        <v>266°47'49"</v>
      </c>
      <c r="D35" t="str" cm="1">
        <f t="array" ref="D35">RadianToSexagesimal(D28)</f>
        <v>266°47'49"</v>
      </c>
      <c r="E35" t="str" cm="1">
        <f t="array" ref="E35">RadianToSexagesimal(E28)</f>
        <v>266°47'49"</v>
      </c>
      <c r="F35" t="str" cm="1">
        <f t="array" ref="F35">RadianToSexagesimal(F28)</f>
        <v>266°47'49"</v>
      </c>
      <c r="G35" t="str" cm="1">
        <f t="array" ref="G35">RadianToSexagesimal(G28)</f>
        <v>266°47'49"</v>
      </c>
      <c r="H35" t="str" cm="1">
        <f t="array" ref="H35">RadianToSexagesimal(H28)</f>
        <v>267°46'09"</v>
      </c>
      <c r="I35" t="str" cm="1">
        <f t="array" ref="I35">RadianToSexagesimal(I28)</f>
        <v>267°20'45"</v>
      </c>
    </row>
    <row r="36" spans="1:9" x14ac:dyDescent="0.3">
      <c r="C36" t="str" cm="1">
        <f t="array" ref="C36">RadianToSexagesimal(C29)</f>
        <v>303°52'18"</v>
      </c>
      <c r="D36" t="str" cm="1">
        <f t="array" ref="D36">RadianToSexagesimal(D29)</f>
        <v>297°07'15"</v>
      </c>
      <c r="E36" t="str" cm="1">
        <f t="array" ref="E36">RadianToSexagesimal(E29)</f>
        <v>299°18'37"</v>
      </c>
      <c r="F36" t="str" cm="1">
        <f t="array" ref="F36">RadianToSexagesimal(F29)</f>
        <v>289°00'16"</v>
      </c>
      <c r="G36" t="str" cm="1">
        <f t="array" ref="G36">RadianToSexagesimal(G29)</f>
        <v>296°47'49"</v>
      </c>
      <c r="H36" t="str" cm="1">
        <f t="array" ref="H36">RadianToSexagesimal(H29)</f>
        <v>297°46'09"</v>
      </c>
      <c r="I36" t="str" cm="1">
        <f t="array" ref="I36">RadianToSexagesimal(I29)</f>
        <v>299°39'44"</v>
      </c>
    </row>
    <row r="37" spans="1:9" ht="16.05" customHeight="1" x14ac:dyDescent="0.3">
      <c r="C37" t="str" cm="1">
        <f t="array" ref="C37">RadianToSexagesimal(C30)</f>
        <v>334°06'47"</v>
      </c>
      <c r="D37" t="str" cm="1">
        <f t="array" ref="D37">RadianToSexagesimal(D30)</f>
        <v>327°26'42"</v>
      </c>
      <c r="E37" t="str" cm="1">
        <f t="array" ref="E37">RadianToSexagesimal(E30)</f>
        <v>329°37'09"</v>
      </c>
      <c r="F37" t="str" cm="1">
        <f t="array" ref="F37">RadianToSexagesimal(F30)</f>
        <v>317°33'55"</v>
      </c>
      <c r="G37" t="str" cm="1">
        <f t="array" ref="G37">RadianToSexagesimal(G30)</f>
        <v>326°47'49"</v>
      </c>
      <c r="H37" t="str" cm="1">
        <f t="array" ref="H37">RadianToSexagesimal(H30)</f>
        <v>327°46'09"</v>
      </c>
      <c r="I37" t="str" cm="1">
        <f t="array" ref="I37">RadianToSexagesimal(I30)</f>
        <v>329°46'49"</v>
      </c>
    </row>
    <row r="38" spans="1:9" ht="16.05" customHeight="1" x14ac:dyDescent="0.3"/>
    <row r="39" spans="1:9" ht="16.05" customHeight="1" x14ac:dyDescent="0.3"/>
    <row r="40" spans="1:9" ht="16.05" customHeight="1" x14ac:dyDescent="0.3">
      <c r="A40" s="32" t="s">
        <v>68</v>
      </c>
      <c r="B40" s="32"/>
      <c r="C40" s="33"/>
      <c r="D40" s="33"/>
      <c r="E40" s="33"/>
      <c r="F40" s="33"/>
      <c r="G40" s="33"/>
      <c r="H40" s="33"/>
      <c r="I40" s="33"/>
    </row>
    <row r="42" spans="1:9" x14ac:dyDescent="0.3">
      <c r="A42" s="34" t="s">
        <v>74</v>
      </c>
      <c r="B42" s="5" t="s">
        <v>19</v>
      </c>
    </row>
    <row r="43" spans="1:9" x14ac:dyDescent="0.3">
      <c r="A43" s="30" t="s">
        <v>69</v>
      </c>
      <c r="B43" s="2" t="s">
        <v>59</v>
      </c>
    </row>
    <row r="44" spans="1:9" x14ac:dyDescent="0.3">
      <c r="A44" s="30" t="s">
        <v>33</v>
      </c>
      <c r="B44" s="2" t="s">
        <v>4</v>
      </c>
    </row>
    <row r="46" spans="1:9" x14ac:dyDescent="0.3">
      <c r="B46" s="35" t="s">
        <v>71</v>
      </c>
      <c r="C46" s="24">
        <v>0</v>
      </c>
      <c r="D46" s="24">
        <v>1</v>
      </c>
      <c r="E46" s="24">
        <v>2</v>
      </c>
      <c r="F46" s="24">
        <v>3</v>
      </c>
      <c r="G46" s="24">
        <v>4</v>
      </c>
      <c r="H46" s="24">
        <v>5</v>
      </c>
      <c r="I46" s="24">
        <v>6</v>
      </c>
    </row>
    <row r="47" spans="1:9" x14ac:dyDescent="0.3">
      <c r="A47" s="35" t="s">
        <v>70</v>
      </c>
      <c r="B47" s="24">
        <v>1</v>
      </c>
      <c r="C47" t="str" cm="1">
        <f t="array" ref="C47">computeCuspFromLatitudeInSexagesimal($B$42,$B$44,$B$43,$B47,C$46,FALSE)</f>
        <v>177°34'00</v>
      </c>
      <c r="D47" t="str" cm="1">
        <f t="array" ref="D47">computeCuspFromLatitudeInSexagesimal($B$42,$B$44,$B$43,$B47,D$46,FALSE)</f>
        <v>177°34'00</v>
      </c>
      <c r="E47" t="str" cm="1">
        <f t="array" ref="E47">computeCuspFromLatitudeInSexagesimal($B$42,$B$44,$B$43,$B47,E$46,FALSE)</f>
        <v>177°34'00</v>
      </c>
      <c r="F47" t="str" cm="1">
        <f t="array" ref="F47">computeCuspFromLatitudeInSexagesimal($B$42,$B$44,$B$43,$B47,F$46,FALSE)</f>
        <v>177°34'00</v>
      </c>
      <c r="G47" t="str" cm="1">
        <f t="array" ref="G47">computeCuspFromLatitudeInSexagesimal($B$42,$B$44,$B$43,$B47,G$46,FALSE)</f>
        <v>177°34'00</v>
      </c>
      <c r="H47" t="str" cm="1">
        <f t="array" ref="H47">computeCuspFromLatitudeInSexagesimal($B$42,$B$44,$B$43,$B47,H$46,FALSE)</f>
        <v>177°34'00</v>
      </c>
      <c r="I47" t="str" cm="1">
        <f t="array" ref="I47">computeCuspFromLatitudeInSexagesimal($B$42,$B$44,$B$43,$B47,I$46,FALSE)</f>
        <v>177°34'00</v>
      </c>
    </row>
    <row r="48" spans="1:9" x14ac:dyDescent="0.3">
      <c r="A48" s="35" t="s">
        <v>76</v>
      </c>
      <c r="B48" s="24">
        <v>2</v>
      </c>
      <c r="C48" t="str" cm="1">
        <f t="array" ref="C48">computeCuspFromLatitudeInSexagesimal($B$42,$B$44,$B$43,$B48,C$46,FALSE)</f>
        <v>202°33'30</v>
      </c>
      <c r="D48" t="str" cm="1">
        <f t="array" ref="D48">computeCuspFromLatitudeInSexagesimal($B$42,$B$44,$B$43,$B48,D$46,FALSE)</f>
        <v>209°32'05</v>
      </c>
      <c r="E48" t="str" cm="1">
        <f t="array" ref="E48">computeCuspFromLatitudeInSexagesimal($B$42,$B$44,$B$43,$B48,E$46,FALSE)</f>
        <v>207°23'56</v>
      </c>
      <c r="F48" t="str" cm="1">
        <f t="array" ref="F48">computeCuspFromLatitudeInSexagesimal($B$42,$B$44,$B$43,$B48,F$46,FALSE)</f>
        <v>209°14'07</v>
      </c>
      <c r="G48" t="str" cm="1">
        <f t="array" ref="G48">computeCuspFromLatitudeInSexagesimal($B$42,$B$44,$B$43,$B48,G$46,FALSE)</f>
        <v>201°09'58</v>
      </c>
      <c r="H48" t="str" cm="1">
        <f t="array" ref="H48">computeCuspFromLatitudeInSexagesimal($B$42,$B$44,$B$43,$B48,H$46,FALSE)</f>
        <v>209°52'28</v>
      </c>
      <c r="I48" t="str" cm="1">
        <f t="array" ref="I48">computeCuspFromLatitudeInSexagesimal($B$42,$B$44,$B$43,$B48,I$46,FALSE)</f>
        <v>207°34'00</v>
      </c>
    </row>
    <row r="49" spans="1:9" x14ac:dyDescent="0.3">
      <c r="A49" s="35" t="s">
        <v>77</v>
      </c>
      <c r="B49" s="24">
        <v>3</v>
      </c>
      <c r="C49" t="str" cm="1">
        <f t="array" ref="C49">computeCuspFromLatitudeInSexagesimal($B$42,$B$44,$B$43,$B49,C$46,FALSE)</f>
        <v>232°41'42</v>
      </c>
      <c r="D49" t="str" cm="1">
        <f t="array" ref="D49">computeCuspFromLatitudeInSexagesimal($B$42,$B$44,$B$43,$B49,D$46,FALSE)</f>
        <v>239°21'06</v>
      </c>
      <c r="E49" t="str" cm="1">
        <f t="array" ref="E49">computeCuspFromLatitudeInSexagesimal($B$42,$B$44,$B$43,$B49,E$46,FALSE)</f>
        <v>237°13'52</v>
      </c>
      <c r="F49" t="str" cm="1">
        <f t="array" ref="F49">computeCuspFromLatitudeInSexagesimal($B$42,$B$44,$B$43,$B49,F$46,FALSE)</f>
        <v>238°55'19</v>
      </c>
      <c r="G49" t="str" cm="1">
        <f t="array" ref="G49">computeCuspFromLatitudeInSexagesimal($B$42,$B$44,$B$43,$B49,G$46,FALSE)</f>
        <v>230°00'42</v>
      </c>
      <c r="H49" t="str" cm="1">
        <f t="array" ref="H49">computeCuspFromLatitudeInSexagesimal($B$42,$B$44,$B$43,$B49,H$46,FALSE)</f>
        <v>239°58'30</v>
      </c>
      <c r="I49" t="str" cm="1">
        <f t="array" ref="I49">computeCuspFromLatitudeInSexagesimal($B$42,$B$44,$B$43,$B49,I$46,FALSE)</f>
        <v>237°34'00</v>
      </c>
    </row>
    <row r="50" spans="1:9" x14ac:dyDescent="0.3">
      <c r="A50" s="35" t="s">
        <v>78</v>
      </c>
      <c r="B50" s="24">
        <v>4</v>
      </c>
      <c r="C50" t="str" cm="1">
        <f t="array" ref="C50">computeCuspFromLatitudeInSexagesimal($B$42,$B$44,$B$43,$B50,C$46,FALSE)</f>
        <v>267°03'48</v>
      </c>
      <c r="D50" t="str" cm="1">
        <f t="array" ref="D50">computeCuspFromLatitudeInSexagesimal($B$42,$B$44,$B$43,$B50,D$46,FALSE)</f>
        <v>267°03'48</v>
      </c>
      <c r="E50" t="str" cm="1">
        <f t="array" ref="E50">computeCuspFromLatitudeInSexagesimal($B$42,$B$44,$B$43,$B50,E$46,FALSE)</f>
        <v>267°03'48</v>
      </c>
      <c r="F50" t="str" cm="1">
        <f t="array" ref="F50">computeCuspFromLatitudeInSexagesimal($B$42,$B$44,$B$43,$B50,F$46,FALSE)</f>
        <v>267°03'48</v>
      </c>
      <c r="G50" t="str" cm="1">
        <f t="array" ref="G50">computeCuspFromLatitudeInSexagesimal($B$42,$B$44,$B$43,$B50,G$46,FALSE)</f>
        <v>267°03'48</v>
      </c>
      <c r="H50" t="str" cm="1">
        <f t="array" ref="H50">computeCuspFromLatitudeInSexagesimal($B$42,$B$44,$B$43,$B50,H$46,FALSE)</f>
        <v>267°57'18</v>
      </c>
      <c r="I50" t="str" cm="1">
        <f t="array" ref="I50">computeCuspFromLatitudeInSexagesimal($B$42,$B$44,$B$43,$B50,I$46,FALSE)</f>
        <v>267°34'00</v>
      </c>
    </row>
    <row r="51" spans="1:9" x14ac:dyDescent="0.3">
      <c r="A51" s="35" t="s">
        <v>79</v>
      </c>
      <c r="B51" s="24">
        <v>5</v>
      </c>
      <c r="C51" t="str" cm="1">
        <f t="array" ref="C51">computeCuspFromLatitudeInSexagesimal($B$42,$B$44,$B$43,$B51,C$46,FALSE)</f>
        <v>301°36'16</v>
      </c>
      <c r="D51" t="str" cm="1">
        <f t="array" ref="D51">computeCuspFromLatitudeInSexagesimal($B$42,$B$44,$B$43,$B51,D$46,FALSE)</f>
        <v>295°09'00</v>
      </c>
      <c r="E51" t="str" cm="1">
        <f t="array" ref="E51">computeCuspFromLatitudeInSexagesimal($B$42,$B$44,$B$43,$B51,E$46,FALSE)</f>
        <v>297°13'52</v>
      </c>
      <c r="F51" t="str" cm="1">
        <f t="array" ref="F51">computeCuspFromLatitudeInSexagesimal($B$42,$B$44,$B$43,$B51,F$46,FALSE)</f>
        <v>295°25'49</v>
      </c>
      <c r="G51" t="str" cm="1">
        <f t="array" ref="G51">computeCuspFromLatitudeInSexagesimal($B$42,$B$44,$B$43,$B51,G$46,FALSE)</f>
        <v>304°29'00</v>
      </c>
      <c r="H51" t="str" cm="1">
        <f t="array" ref="H51">computeCuspFromLatitudeInSexagesimal($B$42,$B$44,$B$43,$B51,H$46,FALSE)</f>
        <v>295°45'54</v>
      </c>
      <c r="I51" t="str" cm="1">
        <f t="array" ref="I51">computeCuspFromLatitudeInSexagesimal($B$42,$B$44,$B$43,$B51,I$46,FALSE)</f>
        <v>297°34'00</v>
      </c>
    </row>
    <row r="52" spans="1:9" x14ac:dyDescent="0.3">
      <c r="A52" s="35" t="s">
        <v>80</v>
      </c>
      <c r="B52" s="24">
        <v>6</v>
      </c>
      <c r="C52" t="str" cm="1">
        <f t="array" ref="C52">computeCuspFromLatitudeInSexagesimal($B$42,$B$44,$B$43,$B52,C$46,FALSE)</f>
        <v>332°06'08</v>
      </c>
      <c r="D52" t="str" cm="1">
        <f t="array" ref="D52">computeCuspFromLatitudeInSexagesimal($B$42,$B$44,$B$43,$B52,D$46,FALSE)</f>
        <v>325°08'39</v>
      </c>
      <c r="E52" t="str" cm="1">
        <f t="array" ref="E52">computeCuspFromLatitudeInSexagesimal($B$42,$B$44,$B$43,$B52,E$46,FALSE)</f>
        <v>327°23'56</v>
      </c>
      <c r="F52" t="str" cm="1">
        <f t="array" ref="F52">computeCuspFromLatitudeInSexagesimal($B$42,$B$44,$B$43,$B52,F$46,FALSE)</f>
        <v>325°37'06</v>
      </c>
      <c r="G52" t="str" cm="1">
        <f t="array" ref="G52">computeCuspFromLatitudeInSexagesimal($B$42,$B$44,$B$43,$B52,G$46,FALSE)</f>
        <v>333°48'18</v>
      </c>
      <c r="H52" t="str" cm="1">
        <f t="array" ref="H52">computeCuspFromLatitudeInSexagesimal($B$42,$B$44,$B$43,$B52,H$46,FALSE)</f>
        <v>325°28'46</v>
      </c>
      <c r="I52" t="str" cm="1">
        <f t="array" ref="I52">computeCuspFromLatitudeInSexagesimal($B$42,$B$44,$B$43,$B52,I$46,FALSE)</f>
        <v>327°34'00</v>
      </c>
    </row>
    <row r="53" spans="1:9" ht="15" x14ac:dyDescent="0.35">
      <c r="C53" s="3"/>
      <c r="D53" s="4"/>
      <c r="E53" s="3"/>
    </row>
    <row r="54" spans="1:9" x14ac:dyDescent="0.3">
      <c r="B54" s="35" t="s">
        <v>53</v>
      </c>
    </row>
    <row r="55" spans="1:9" x14ac:dyDescent="0.3">
      <c r="A55" s="35" t="s">
        <v>70</v>
      </c>
      <c r="B55" s="24">
        <v>1</v>
      </c>
      <c r="C55" t="str" cm="1">
        <f t="array" ref="C55">computeCuspFromLatitudeInSexagesimal($B$42,$B$44,$B$43,$B55,C$46,TRUE)</f>
        <v>177°46'09</v>
      </c>
      <c r="D55" t="str" cm="1">
        <f t="array" ref="D55">computeCuspFromLatitudeInSexagesimal($B$42,$B$44,$B$43,$B55,D$46,TRUE)</f>
        <v>177°46'09</v>
      </c>
      <c r="E55" t="str" cm="1">
        <f t="array" ref="E55">computeCuspFromLatitudeInSexagesimal($B$42,$B$44,$B$43,$B55,E$46,TRUE)</f>
        <v>177°46'09</v>
      </c>
      <c r="F55" t="str" cm="1">
        <f t="array" ref="F55">computeCuspFromLatitudeInSexagesimal($B$42,$B$44,$B$43,$B55,F$46,TRUE)</f>
        <v>176°47'49</v>
      </c>
      <c r="G55" t="str" cm="1">
        <f t="array" ref="G55">computeCuspFromLatitudeInSexagesimal($B$42,$B$44,$B$43,$B55,G$46,TRUE)</f>
        <v>176°47'49</v>
      </c>
      <c r="H55" t="str" cm="1">
        <f t="array" ref="H55">computeCuspFromLatitudeInSexagesimal($B$42,$B$44,$B$43,$B55,H$46,TRUE)</f>
        <v>177°46'09</v>
      </c>
      <c r="I55" t="str" cm="1">
        <f t="array" ref="I55">computeCuspFromLatitudeInSexagesimal($B$42,$B$44,$B$43,$B55,I$46,TRUE)</f>
        <v>177°46'09</v>
      </c>
    </row>
    <row r="56" spans="1:9" x14ac:dyDescent="0.3">
      <c r="A56" s="35" t="s">
        <v>76</v>
      </c>
      <c r="B56" s="24">
        <v>2</v>
      </c>
      <c r="C56" t="str" cm="1">
        <f t="array" ref="C56">computeCuspFromLatitudeInSexagesimal($B$42,$B$44,$B$43,$B56,C$46,TRUE)</f>
        <v>200°50'46</v>
      </c>
      <c r="D56" t="str" cm="1">
        <f t="array" ref="D56">computeCuspFromLatitudeInSexagesimal($B$42,$B$44,$B$43,$B56,D$46,TRUE)</f>
        <v>207°26'42</v>
      </c>
      <c r="E56" t="str" cm="1">
        <f t="array" ref="E56">computeCuspFromLatitudeInSexagesimal($B$42,$B$44,$B$43,$B56,E$46,TRUE)</f>
        <v>205°24'49</v>
      </c>
      <c r="F56" t="str" cm="1">
        <f t="array" ref="F56">computeCuspFromLatitudeInSexagesimal($B$42,$B$44,$B$43,$B56,F$46,TRUE)</f>
        <v>216°01'42</v>
      </c>
      <c r="G56" t="str" cm="1">
        <f t="array" ref="G56">computeCuspFromLatitudeInSexagesimal($B$42,$B$44,$B$43,$B56,G$46,TRUE)</f>
        <v>206°47'49</v>
      </c>
      <c r="H56" t="str" cm="1">
        <f t="array" ref="H56">computeCuspFromLatitudeInSexagesimal($B$42,$B$44,$B$43,$B56,H$46,TRUE)</f>
        <v>207°46'09</v>
      </c>
      <c r="I56" t="str" cm="1">
        <f t="array" ref="I56">computeCuspFromLatitudeInSexagesimal($B$42,$B$44,$B$43,$B56,I$46,TRUE)</f>
        <v>205°34'22</v>
      </c>
    </row>
    <row r="57" spans="1:9" x14ac:dyDescent="0.3">
      <c r="A57" s="35" t="s">
        <v>77</v>
      </c>
      <c r="B57" s="24">
        <v>3</v>
      </c>
      <c r="C57" t="str" cm="1">
        <f t="array" ref="C57">computeCuspFromLatitudeInSexagesimal($B$42,$B$44,$B$43,$B57,C$46,TRUE)</f>
        <v>230°15'59</v>
      </c>
      <c r="D57" t="str" cm="1">
        <f t="array" ref="D57">computeCuspFromLatitudeInSexagesimal($B$42,$B$44,$B$43,$B57,D$46,TRUE)</f>
        <v>237°07'15</v>
      </c>
      <c r="E57" t="str" cm="1">
        <f t="array" ref="E57">computeCuspFromLatitudeInSexagesimal($B$42,$B$44,$B$43,$B57,E$46,TRUE)</f>
        <v>234°55'22</v>
      </c>
      <c r="F57" t="str" cm="1">
        <f t="array" ref="F57">computeCuspFromLatitudeInSexagesimal($B$42,$B$44,$B$43,$B57,F$46,TRUE)</f>
        <v>244°35'21</v>
      </c>
      <c r="G57" t="str" cm="1">
        <f t="array" ref="G57">computeCuspFromLatitudeInSexagesimal($B$42,$B$44,$B$43,$B57,G$46,TRUE)</f>
        <v>236°47'49</v>
      </c>
      <c r="H57" t="str" cm="1">
        <f t="array" ref="H57">computeCuspFromLatitudeInSexagesimal($B$42,$B$44,$B$43,$B57,H$46,TRUE)</f>
        <v>237°46'09</v>
      </c>
      <c r="I57" t="str" cm="1">
        <f t="array" ref="I57">computeCuspFromLatitudeInSexagesimal($B$42,$B$44,$B$43,$B57,I$46,TRUE)</f>
        <v>235°16'11</v>
      </c>
    </row>
    <row r="58" spans="1:9" x14ac:dyDescent="0.3">
      <c r="A58" s="35" t="s">
        <v>78</v>
      </c>
      <c r="B58" s="24">
        <v>4</v>
      </c>
      <c r="C58" t="str" cm="1">
        <f t="array" ref="C58">computeCuspFromLatitudeInSexagesimal($B$42,$B$44,$B$43,$B58,C$46,TRUE)</f>
        <v>266°47'49</v>
      </c>
      <c r="D58" t="str" cm="1">
        <f t="array" ref="D58">computeCuspFromLatitudeInSexagesimal($B$42,$B$44,$B$43,$B58,D$46,TRUE)</f>
        <v>266°47'49</v>
      </c>
      <c r="E58" t="str" cm="1">
        <f t="array" ref="E58">computeCuspFromLatitudeInSexagesimal($B$42,$B$44,$B$43,$B58,E$46,TRUE)</f>
        <v>266°47'49</v>
      </c>
      <c r="F58" t="str" cm="1">
        <f t="array" ref="F58">computeCuspFromLatitudeInSexagesimal($B$42,$B$44,$B$43,$B58,F$46,TRUE)</f>
        <v>266°47'49</v>
      </c>
      <c r="G58" t="str" cm="1">
        <f t="array" ref="G58">computeCuspFromLatitudeInSexagesimal($B$42,$B$44,$B$43,$B58,G$46,TRUE)</f>
        <v>266°47'49</v>
      </c>
      <c r="H58" t="str" cm="1">
        <f t="array" ref="H58">computeCuspFromLatitudeInSexagesimal($B$42,$B$44,$B$43,$B58,H$46,TRUE)</f>
        <v>267°46'09</v>
      </c>
      <c r="I58" t="str" cm="1">
        <f t="array" ref="I58">computeCuspFromLatitudeInSexagesimal($B$42,$B$44,$B$43,$B58,I$46,TRUE)</f>
        <v>267°20'45</v>
      </c>
    </row>
    <row r="59" spans="1:9" x14ac:dyDescent="0.3">
      <c r="A59" s="35" t="s">
        <v>79</v>
      </c>
      <c r="B59" s="24">
        <v>5</v>
      </c>
      <c r="C59" t="str" cm="1">
        <f t="array" ref="C59">computeCuspFromLatitudeInSexagesimal($B$42,$B$44,$B$43,$B59,C$46,TRUE)</f>
        <v>303°52'18</v>
      </c>
      <c r="D59" t="str" cm="1">
        <f t="array" ref="D59">computeCuspFromLatitudeInSexagesimal($B$42,$B$44,$B$43,$B59,D$46,TRUE)</f>
        <v>297°07'15</v>
      </c>
      <c r="E59" t="str" cm="1">
        <f t="array" ref="E59">computeCuspFromLatitudeInSexagesimal($B$42,$B$44,$B$43,$B59,E$46,TRUE)</f>
        <v>299°18'37</v>
      </c>
      <c r="F59" t="str" cm="1">
        <f t="array" ref="F59">computeCuspFromLatitudeInSexagesimal($B$42,$B$44,$B$43,$B59,F$46,TRUE)</f>
        <v>289°00'16</v>
      </c>
      <c r="G59" t="str" cm="1">
        <f t="array" ref="G59">computeCuspFromLatitudeInSexagesimal($B$42,$B$44,$B$43,$B59,G$46,TRUE)</f>
        <v>296°47'49</v>
      </c>
      <c r="H59" t="str" cm="1">
        <f t="array" ref="H59">computeCuspFromLatitudeInSexagesimal($B$42,$B$44,$B$43,$B59,H$46,TRUE)</f>
        <v>297°46'09</v>
      </c>
      <c r="I59" t="str" cm="1">
        <f t="array" ref="I59">computeCuspFromLatitudeInSexagesimal($B$42,$B$44,$B$43,$B59,I$46,TRUE)</f>
        <v>299°39'44</v>
      </c>
    </row>
    <row r="60" spans="1:9" x14ac:dyDescent="0.3">
      <c r="A60" s="35" t="s">
        <v>80</v>
      </c>
      <c r="B60" s="24">
        <v>6</v>
      </c>
      <c r="C60" t="str" cm="1">
        <f t="array" ref="C60">computeCuspFromLatitudeInSexagesimal($B$42,$B$44,$B$43,$B60,C$46,TRUE)</f>
        <v>334°06'47</v>
      </c>
      <c r="D60" t="str" cm="1">
        <f t="array" ref="D60">computeCuspFromLatitudeInSexagesimal($B$42,$B$44,$B$43,$B60,D$46,TRUE)</f>
        <v>327°26'42</v>
      </c>
      <c r="E60" t="str" cm="1">
        <f t="array" ref="E60">computeCuspFromLatitudeInSexagesimal($B$42,$B$44,$B$43,$B60,E$46,TRUE)</f>
        <v>329°37'09</v>
      </c>
      <c r="F60" t="str" cm="1">
        <f t="array" ref="F60">computeCuspFromLatitudeInSexagesimal($B$42,$B$44,$B$43,$B60,F$46,TRUE)</f>
        <v>317°33'55</v>
      </c>
      <c r="G60" t="str" cm="1">
        <f t="array" ref="G60">computeCuspFromLatitudeInSexagesimal($B$42,$B$44,$B$43,$B60,G$46,TRUE)</f>
        <v>326°47'49</v>
      </c>
      <c r="H60" t="str" cm="1">
        <f t="array" ref="H60">computeCuspFromLatitudeInSexagesimal($B$42,$B$44,$B$43,$B60,H$46,TRUE)</f>
        <v>327°46'09</v>
      </c>
      <c r="I60" t="str" cm="1">
        <f t="array" ref="I60">computeCuspFromLatitudeInSexagesimal($B$42,$B$44,$B$43,$B60,I$46,TRUE)</f>
        <v>329°46'49</v>
      </c>
    </row>
  </sheetData>
  <phoneticPr fontId="2" type="noConversion"/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D3066-6A5E-4780-8AC3-A16EEE8BF902}">
  <sheetPr codeName="Feuil2"/>
  <dimension ref="A1:Q104"/>
  <sheetViews>
    <sheetView workbookViewId="0"/>
  </sheetViews>
  <sheetFormatPr baseColWidth="10" defaultRowHeight="14.4" x14ac:dyDescent="0.3"/>
  <cols>
    <col min="4" max="10" width="11.6640625" bestFit="1" customWidth="1"/>
    <col min="11" max="11" width="12.6640625" bestFit="1" customWidth="1"/>
    <col min="14" max="14" width="12.6640625" bestFit="1" customWidth="1"/>
    <col min="15" max="15" width="13" customWidth="1"/>
  </cols>
  <sheetData>
    <row r="1" spans="1:17" x14ac:dyDescent="0.3">
      <c r="A1" s="31" t="s">
        <v>67</v>
      </c>
    </row>
    <row r="2" spans="1:17" x14ac:dyDescent="0.3">
      <c r="A2" s="31"/>
    </row>
    <row r="3" spans="1:17" x14ac:dyDescent="0.3">
      <c r="A3" s="32" t="s">
        <v>83</v>
      </c>
      <c r="B3" s="33"/>
      <c r="C3" s="33"/>
      <c r="D3" s="33"/>
      <c r="E3" s="33"/>
      <c r="F3" s="33"/>
      <c r="G3" s="33"/>
      <c r="H3" s="33"/>
      <c r="I3" s="33"/>
      <c r="J3" s="33"/>
      <c r="L3" s="32" t="s">
        <v>85</v>
      </c>
      <c r="M3" s="33"/>
      <c r="N3" s="33"/>
      <c r="O3" s="33"/>
      <c r="P3" s="33"/>
      <c r="Q3" s="33"/>
    </row>
    <row r="4" spans="1:17" x14ac:dyDescent="0.3">
      <c r="L4" t="s">
        <v>94</v>
      </c>
    </row>
    <row r="5" spans="1:17" x14ac:dyDescent="0.3">
      <c r="C5" t="s">
        <v>6</v>
      </c>
    </row>
    <row r="6" spans="1:17" x14ac:dyDescent="0.3">
      <c r="A6" s="17" t="s">
        <v>0</v>
      </c>
      <c r="B6" s="2" t="s">
        <v>3</v>
      </c>
      <c r="C6" s="6" cm="1">
        <f t="array" ref="C6">SexagesimalToRadian(B6)</f>
        <v>0.41117048294899744</v>
      </c>
      <c r="L6" t="s">
        <v>93</v>
      </c>
      <c r="N6" s="19"/>
      <c r="O6" s="25">
        <v>3</v>
      </c>
      <c r="P6" s="19"/>
    </row>
    <row r="7" spans="1:17" x14ac:dyDescent="0.3">
      <c r="A7" s="15" t="s">
        <v>23</v>
      </c>
      <c r="B7" s="6" t="str">
        <f>B14</f>
        <v>177°33'59"</v>
      </c>
      <c r="C7" s="6" cm="1">
        <f t="array" ref="C7">SexagesimalToRadian(B7)</f>
        <v>3.0991181269877868</v>
      </c>
      <c r="N7" s="25">
        <v>1</v>
      </c>
      <c r="O7" s="25">
        <v>0</v>
      </c>
      <c r="P7" s="25">
        <v>2</v>
      </c>
    </row>
    <row r="8" spans="1:17" x14ac:dyDescent="0.3">
      <c r="A8" s="15" t="s">
        <v>24</v>
      </c>
      <c r="B8" s="6" t="str">
        <f>B17</f>
        <v>267.03'47</v>
      </c>
      <c r="C8" s="6">
        <f>C17</f>
        <v>4.6611296298809792</v>
      </c>
      <c r="N8" s="40" t="s">
        <v>21</v>
      </c>
      <c r="O8" s="25">
        <v>4</v>
      </c>
      <c r="P8" s="40" t="s">
        <v>22</v>
      </c>
    </row>
    <row r="9" spans="1:17" x14ac:dyDescent="0.3">
      <c r="A9" s="15" t="s">
        <v>1</v>
      </c>
      <c r="B9" s="6" t="str" cm="1">
        <f t="array" ref="B9">RadianToSexagesimal(C9)</f>
        <v>44°59'49"</v>
      </c>
      <c r="C9" s="6" cm="1">
        <f t="array" ref="C9">RetrieveLatitudeFromLong($C$6,$C$7,$C$8)</f>
        <v>0.7853431622157393</v>
      </c>
    </row>
    <row r="10" spans="1:17" x14ac:dyDescent="0.3">
      <c r="A10" s="15" t="s">
        <v>15</v>
      </c>
      <c r="B10" s="2" t="s">
        <v>13</v>
      </c>
      <c r="C10" s="6" cm="1">
        <f t="array" ref="C10">SexagesimalToRadian(B10)</f>
        <v>2.9088820866572155E-3</v>
      </c>
      <c r="N10" s="19"/>
      <c r="O10" s="27" t="s">
        <v>86</v>
      </c>
      <c r="P10" s="19"/>
    </row>
    <row r="11" spans="1:17" x14ac:dyDescent="0.3">
      <c r="N11" s="26" t="s">
        <v>87</v>
      </c>
      <c r="O11" s="27" t="s">
        <v>88</v>
      </c>
      <c r="P11" s="26" t="s">
        <v>90</v>
      </c>
    </row>
    <row r="12" spans="1:17" x14ac:dyDescent="0.3">
      <c r="D12" s="15" t="s">
        <v>2</v>
      </c>
      <c r="E12" s="15" t="s">
        <v>5</v>
      </c>
      <c r="F12" s="15" t="s">
        <v>7</v>
      </c>
      <c r="G12" s="15" t="s">
        <v>8</v>
      </c>
      <c r="H12" s="15" t="s">
        <v>9</v>
      </c>
      <c r="I12" s="15" t="s">
        <v>10</v>
      </c>
      <c r="J12" s="15" t="s">
        <v>11</v>
      </c>
      <c r="N12" s="38" t="s">
        <v>91</v>
      </c>
      <c r="O12" s="27" t="s">
        <v>89</v>
      </c>
      <c r="P12" s="39" t="s">
        <v>92</v>
      </c>
    </row>
    <row r="13" spans="1:17" x14ac:dyDescent="0.3">
      <c r="A13" s="15" t="s">
        <v>12</v>
      </c>
      <c r="B13" s="15" t="s">
        <v>14</v>
      </c>
      <c r="C13" s="1"/>
      <c r="D13" s="24">
        <v>0</v>
      </c>
      <c r="E13" s="24">
        <v>1</v>
      </c>
      <c r="F13" s="24">
        <v>2</v>
      </c>
      <c r="G13" s="24">
        <v>3</v>
      </c>
      <c r="H13" s="24">
        <v>4</v>
      </c>
      <c r="I13" s="24">
        <v>5</v>
      </c>
      <c r="J13" s="24">
        <v>6</v>
      </c>
      <c r="N13" s="19"/>
      <c r="O13" s="19"/>
      <c r="P13" s="19"/>
    </row>
    <row r="14" spans="1:17" x14ac:dyDescent="0.3">
      <c r="A14" s="24">
        <v>1</v>
      </c>
      <c r="B14" s="8" t="s">
        <v>56</v>
      </c>
      <c r="C14" s="6" cm="1">
        <f t="array" ref="C14">SexagesimalToRadian(B14)</f>
        <v>3.0991181269877868</v>
      </c>
      <c r="D14" s="7" cm="1">
        <f t="array" ref="D14">computeCuspFromLatitudeInRadian($C$6,$C$9,$C$7,$A33,D$13,FALSE)</f>
        <v>3.0991181269877868</v>
      </c>
      <c r="E14" s="7" cm="1">
        <f t="array" ref="E14">computeCuspFromLatitudeInRadian($C$6,$C$9,$C$7,$A33,E$13,FALSE)</f>
        <v>3.0991181269877868</v>
      </c>
      <c r="F14" s="7" cm="1">
        <f t="array" ref="F14">computeCuspFromLatitudeInRadian($C$6,$C$9,$C$7,$A33,F$13,FALSE)</f>
        <v>3.0991181269877868</v>
      </c>
      <c r="G14" s="7" cm="1">
        <f t="array" ref="G14">computeCuspFromLatitudeInRadian($C$6,$C$9,$C$7,$A33,G$13,FALSE)</f>
        <v>3.0991181269877868</v>
      </c>
      <c r="H14" s="7" cm="1">
        <f t="array" ref="H14">computeCuspFromLatitudeInRadian($C$6,$C$9,$C$7,$A33,H$13,FALSE)</f>
        <v>3.0991181269877868</v>
      </c>
      <c r="I14" s="7" cm="1">
        <f t="array" ref="I14">computeCuspFromLatitudeInRadian($C$6,$C$9,$C$7,$A33,I$13,FALSE)</f>
        <v>3.0991181269877868</v>
      </c>
      <c r="J14" s="7" cm="1">
        <f t="array" ref="J14">computeCuspFromLatitudeInRadian($C$6,$C$9,$C$7,$A33,J$13,FALSE)</f>
        <v>3.0991181269877868</v>
      </c>
    </row>
    <row r="15" spans="1:17" x14ac:dyDescent="0.3">
      <c r="A15" s="24">
        <v>2</v>
      </c>
      <c r="B15" s="2" t="s">
        <v>54</v>
      </c>
      <c r="C15" s="6" cm="1">
        <f t="array" ref="C15">SexagesimalToRadian(B15)</f>
        <v>3.5353049958820364</v>
      </c>
      <c r="D15" s="7" cm="1">
        <f t="array" ref="D15">computeCuspFromLatitudeInRadian($C$6,$C$9,$C$7,$A34,D$13,FALSE)</f>
        <v>3.5353152749625161</v>
      </c>
      <c r="E15" s="7" cm="1">
        <f t="array" ref="E15">computeCuspFromLatitudeInRadian($C$6,$C$9,$C$7,$A34,E$13,FALSE)</f>
        <v>3.6570651173716393</v>
      </c>
      <c r="F15" s="7" cm="1">
        <f t="array" ref="F15">computeCuspFromLatitudeInRadian($C$6,$C$9,$C$7,$A34,F$13,FALSE)</f>
        <v>3.6197886279521843</v>
      </c>
      <c r="G15" s="7" cm="1">
        <f t="array" ref="G15">computeCuspFromLatitudeInRadian($C$6,$C$9,$C$7,$A34,G$13,FALSE)</f>
        <v>3.6518297768456858</v>
      </c>
      <c r="H15" s="7" cm="1">
        <f t="array" ref="H15">computeCuspFromLatitudeInRadian($C$6,$C$9,$C$7,$A34,H$13,FALSE)</f>
        <v>3.5110170924910338</v>
      </c>
      <c r="I15" s="7" cm="1">
        <f t="array" ref="I15">computeCuspFromLatitudeInRadian($C$6,$C$9,$C$7,$A34,I$13,FALSE)</f>
        <v>3.662994970863092</v>
      </c>
      <c r="J15" s="7" cm="1">
        <f t="array" ref="J15">computeCuspFromLatitudeInRadian($C$6,$C$9,$C$7,$A34,J$13,FALSE)</f>
        <v>3.6227169025860855</v>
      </c>
    </row>
    <row r="16" spans="1:17" x14ac:dyDescent="0.3">
      <c r="A16" s="24">
        <v>3</v>
      </c>
      <c r="B16" s="2" t="s">
        <v>55</v>
      </c>
      <c r="C16" s="6" cm="1">
        <f t="array" ref="C16">SexagesimalToRadian(B16)</f>
        <v>4.0612939029282051</v>
      </c>
      <c r="D16" s="7" cm="1">
        <f t="array" ref="D16">computeCuspFromLatitudeInRadian($C$6,$C$9,$C$7,$A35,D$13,FALSE)</f>
        <v>4.0613028358962193</v>
      </c>
      <c r="E16" s="7" cm="1">
        <f t="array" ref="E16">computeCuspFromLatitudeInRadian($C$6,$C$9,$C$7,$A35,E$13,FALSE)</f>
        <v>4.1774727290104874</v>
      </c>
      <c r="F16" s="7" cm="1">
        <f t="array" ref="F16">computeCuspFromLatitudeInRadian($C$6,$C$9,$C$7,$A35,F$13,FALSE)</f>
        <v>4.1404591289165822</v>
      </c>
      <c r="G16" s="7" cm="1">
        <f t="array" ref="G16">computeCuspFromLatitudeInRadian($C$6,$C$9,$C$7,$A35,G$13,FALSE)</f>
        <v>4.1699600752053536</v>
      </c>
      <c r="H16" s="7" cm="1">
        <f t="array" ref="H16">computeCuspFromLatitudeInRadian($C$6,$C$9,$C$7,$A35,H$13,FALSE)</f>
        <v>4.0144744757091466</v>
      </c>
      <c r="I16" s="7" cm="1">
        <f t="array" ref="I16">computeCuspFromLatitudeInRadian($C$6,$C$9,$C$7,$A35,I$13,FALSE)</f>
        <v>4.1883477891410283</v>
      </c>
      <c r="J16" s="7" cm="1">
        <f t="array" ref="J16">computeCuspFromLatitudeInRadian($C$6,$C$9,$C$7,$A35,J$13,FALSE)</f>
        <v>4.1463156781843846</v>
      </c>
      <c r="M16" t="s">
        <v>6</v>
      </c>
      <c r="N16" s="19"/>
      <c r="O16" s="19"/>
      <c r="P16" s="19"/>
    </row>
    <row r="17" spans="1:16" x14ac:dyDescent="0.3">
      <c r="A17" s="24">
        <v>4</v>
      </c>
      <c r="B17" s="2" t="s">
        <v>16</v>
      </c>
      <c r="C17" s="6" cm="1">
        <f t="array" ref="C17">SexagesimalToRadian(B17)</f>
        <v>4.6611296298809792</v>
      </c>
      <c r="D17" s="7" cm="1">
        <f t="array" ref="D17">computeCuspFromLatitudeInRadian($C$6,$C$9,$C$7,$A36,D$13,FALSE)</f>
        <v>4.6611296298809792</v>
      </c>
      <c r="E17" s="7" cm="1">
        <f t="array" ref="E17">computeCuspFromLatitudeInRadian($C$6,$C$9,$C$7,$A36,E$13,FALSE)</f>
        <v>4.6611296298809792</v>
      </c>
      <c r="F17" s="7" cm="1">
        <f t="array" ref="F17">computeCuspFromLatitudeInRadian($C$6,$C$9,$C$7,$A36,F$13,FALSE)</f>
        <v>4.6611296298809792</v>
      </c>
      <c r="G17" s="7" cm="1">
        <f t="array" ref="G17">computeCuspFromLatitudeInRadian($C$6,$C$9,$C$7,$A36,G$13,FALSE)</f>
        <v>4.6611296298809792</v>
      </c>
      <c r="H17" s="7" cm="1">
        <f t="array" ref="H17">computeCuspFromLatitudeInRadian($C$6,$C$9,$C$7,$A36,H$13,FALSE)</f>
        <v>4.6611296298809792</v>
      </c>
      <c r="I17" s="7" cm="1">
        <f t="array" ref="I17">computeCuspFromLatitudeInRadian($C$6,$C$9,$C$7,$A36,I$13,FALSE)</f>
        <v>4.6766932857177732</v>
      </c>
      <c r="J17" s="7" cm="1">
        <f t="array" ref="J17">computeCuspFromLatitudeInRadian($C$6,$C$9,$C$7,$A36,J$13,FALSE)</f>
        <v>4.6699144537826829</v>
      </c>
      <c r="N17" s="19"/>
      <c r="O17" s="18" cm="1">
        <f t="array" ref="O17">RetrieveLatitudeRange($C$6,$C$7,$C$8,$C$10,O6)</f>
        <v>0.69189949973387077</v>
      </c>
      <c r="P17" s="19"/>
    </row>
    <row r="18" spans="1:16" x14ac:dyDescent="0.3">
      <c r="A18" s="24">
        <v>5</v>
      </c>
      <c r="B18" s="2" t="s">
        <v>17</v>
      </c>
      <c r="C18" s="6" cm="1">
        <f t="array" ref="C18">SexagesimalToRadian(B18)</f>
        <v>5.2639857460670649</v>
      </c>
      <c r="D18" s="7" cm="1">
        <f t="array" ref="D18">computeCuspFromLatitudeInRadian($C$6,$C$9,$C$7,$A37,D$13,FALSE)</f>
        <v>5.2639718266494819</v>
      </c>
      <c r="E18" s="7" cm="1">
        <f t="array" ref="E18">computeCuspFromLatitudeInRadian($C$6,$C$9,$C$7,$A37,E$13,FALSE)</f>
        <v>5.1513348098405292</v>
      </c>
      <c r="F18" s="7" cm="1">
        <f t="array" ref="F18">computeCuspFromLatitudeInRadian($C$6,$C$9,$C$7,$A37,F$13,FALSE)</f>
        <v>5.1876566801131796</v>
      </c>
      <c r="G18" s="7" cm="1">
        <f t="array" ref="G18">computeCuspFromLatitudeInRadian($C$6,$C$9,$C$7,$A37,G$13,FALSE)</f>
        <v>5.1562365949902356</v>
      </c>
      <c r="H18" s="7" cm="1">
        <f t="array" ref="H18">computeCuspFromLatitudeInRadian($C$6,$C$9,$C$7,$A37,H$13,FALSE)</f>
        <v>5.3142175310565456</v>
      </c>
      <c r="I18" s="7" cm="1">
        <f t="array" ref="I18">computeCuspFromLatitudeInRadian($C$6,$C$9,$C$7,$A37,I$13,FALSE)</f>
        <v>5.1620711542267372</v>
      </c>
      <c r="J18" s="7" cm="1">
        <f t="array" ref="J18">computeCuspFromLatitudeInRadian($C$6,$C$9,$C$7,$A37,J$13,FALSE)</f>
        <v>5.193513229380982</v>
      </c>
      <c r="N18" s="18" cm="1">
        <f t="array" ref="N18">RetrieveLatitudeRange($C$6,$C$7,$C$8,$C$10,N7)</f>
        <v>0.65678828425212188</v>
      </c>
      <c r="O18" s="18" cm="1">
        <f t="array" ref="O18">RetrieveLatitudeRange($C$6,$C$7,$C$8,$C$10,O7)</f>
        <v>0.7853431622157393</v>
      </c>
      <c r="P18" s="18" cm="1">
        <f t="array" ref="P18">RetrieveLatitudeRange($C$6,$C$7,$C$8,$C$10,P7)</f>
        <v>0.90215582953632023</v>
      </c>
    </row>
    <row r="19" spans="1:16" x14ac:dyDescent="0.3">
      <c r="A19" s="24">
        <v>6</v>
      </c>
      <c r="B19" s="2" t="s">
        <v>18</v>
      </c>
      <c r="C19" s="6" cm="1">
        <f t="array" ref="C19">SexagesimalToRadian(B19)</f>
        <v>5.7962772309676573</v>
      </c>
      <c r="D19" s="7" cm="1">
        <f t="array" ref="D19">computeCuspFromLatitudeInRadian($C$6,$C$9,$C$7,$A38,D$13,FALSE)</f>
        <v>5.796263957635122</v>
      </c>
      <c r="E19" s="7" cm="1">
        <f t="array" ref="E19">computeCuspFromLatitudeInRadian($C$6,$C$9,$C$7,$A38,E$13,FALSE)</f>
        <v>5.6748306070776522</v>
      </c>
      <c r="F19" s="7" cm="1">
        <f t="array" ref="F19">computeCuspFromLatitudeInRadian($C$6,$C$9,$C$7,$A38,F$13,FALSE)</f>
        <v>5.71418373034538</v>
      </c>
      <c r="G19" s="7" cm="1">
        <f t="array" ref="G19">computeCuspFromLatitudeInRadian($C$6,$C$9,$C$7,$A38,G$13,FALSE)</f>
        <v>5.6831181451757269</v>
      </c>
      <c r="H19" s="7" cm="1">
        <f t="array" ref="H19">computeCuspFromLatitudeInRadian($C$6,$C$9,$C$7,$A38,H$13,FALSE)</f>
        <v>5.8259774120209507</v>
      </c>
      <c r="I19" s="7" cm="1">
        <f t="array" ref="I19">computeCuspFromLatitudeInRadian($C$6,$C$9,$C$7,$A38,I$13,FALSE)</f>
        <v>5.680683214517777</v>
      </c>
      <c r="J19" s="7" cm="1">
        <f t="array" ref="J19">computeCuspFromLatitudeInRadian($C$6,$C$9,$C$7,$A38,J$13,FALSE)</f>
        <v>5.7171120049792812</v>
      </c>
      <c r="N19" s="40" cm="1">
        <f t="array" ref="N19">RetrieveLatitude($C$6,C33-$C$10,C36-$C$10)</f>
        <v>0.74937078593938777</v>
      </c>
      <c r="O19" s="18" cm="1">
        <f t="array" ref="O19">RetrieveLatitudeRange($C$6,$C$7,$C$8,$C$10,O8)</f>
        <v>0.86410137110531182</v>
      </c>
      <c r="P19" s="40" cm="1">
        <f t="array" ref="P19">RetrieveLatitude($C$6,C33+$C$10,C36-$C$10)</f>
        <v>0.96734219739531635</v>
      </c>
    </row>
    <row r="21" spans="1:16" x14ac:dyDescent="0.3">
      <c r="M21" t="s">
        <v>75</v>
      </c>
      <c r="N21" s="19"/>
      <c r="O21" s="19" t="str" cm="1">
        <f t="array" ref="O21">RadianToSexagesimal(O17)</f>
        <v>39°38'35"</v>
      </c>
      <c r="P21" s="19"/>
    </row>
    <row r="22" spans="1:16" x14ac:dyDescent="0.3">
      <c r="B22" s="30" t="s">
        <v>81</v>
      </c>
      <c r="C22" s="1"/>
      <c r="N22" s="19" t="str" cm="1">
        <f t="array" ref="N22">RadianToSexagesimal(N18)</f>
        <v>37°37'52"</v>
      </c>
      <c r="O22" s="19" t="str" cm="1">
        <f t="array" ref="O22">RadianToSexagesimal(O18)</f>
        <v>44°59'49"</v>
      </c>
      <c r="P22" s="19" t="str" cm="1">
        <f t="array" ref="P22">RadianToSexagesimal(P18)</f>
        <v>51°41'23"</v>
      </c>
    </row>
    <row r="23" spans="1:16" x14ac:dyDescent="0.3">
      <c r="D23" s="21">
        <f t="shared" ref="D23:J23" si="0">AVERAGE(D25:D26,D28:D29)</f>
        <v>1.160119965304407E-5</v>
      </c>
      <c r="E23" s="21">
        <f t="shared" si="0"/>
        <v>0.11800912692210652</v>
      </c>
      <c r="F23" s="21">
        <f t="shared" si="0"/>
        <v>8.0517856158671908E-2</v>
      </c>
      <c r="G23" s="21">
        <f t="shared" si="0"/>
        <v>0.11152479752738942</v>
      </c>
      <c r="H23" s="21">
        <f t="shared" si="0"/>
        <v>3.7759824163208777E-2</v>
      </c>
      <c r="I23" s="21">
        <f t="shared" si="0"/>
        <v>0.11806311737102171</v>
      </c>
      <c r="J23" s="21">
        <f t="shared" si="0"/>
        <v>8.0517856158671908E-2</v>
      </c>
      <c r="N23" s="40" t="str" cm="1">
        <f t="array" ref="N23">RadianToSexagesimal(N19)</f>
        <v>42°56'09"</v>
      </c>
      <c r="O23" s="19" t="str" cm="1">
        <f t="array" ref="O23">RadianToSexagesimal(O19)</f>
        <v>49°30'34"</v>
      </c>
      <c r="P23" s="40" t="str" cm="1">
        <f t="array" ref="P23">RadianToSexagesimal(P19)</f>
        <v>55°25'29"</v>
      </c>
    </row>
    <row r="24" spans="1:16" x14ac:dyDescent="0.3">
      <c r="A24" s="15">
        <v>1</v>
      </c>
      <c r="D24" s="22" cm="1">
        <f t="array" ref="D24">QualityCoefficientRadian($C14,D14)</f>
        <v>0</v>
      </c>
      <c r="E24" s="22" cm="1">
        <f t="array" ref="E24">QualityCoefficientRadian($C14,E14)</f>
        <v>0</v>
      </c>
      <c r="F24" s="22" cm="1">
        <f t="array" ref="F24">QualityCoefficientRadian($C14,F14)</f>
        <v>0</v>
      </c>
      <c r="G24" s="22" cm="1">
        <f t="array" ref="G24">QualityCoefficientRadian($C14,G14)</f>
        <v>0</v>
      </c>
      <c r="H24" s="22" cm="1">
        <f t="array" ref="H24">QualityCoefficientRadian($C14,H14)</f>
        <v>0</v>
      </c>
      <c r="I24" s="22" cm="1">
        <f t="array" ref="I24">QualityCoefficientRadian($C14,I14)</f>
        <v>0</v>
      </c>
      <c r="J24" s="22" cm="1">
        <f t="array" ref="J24">QualityCoefficientRadian($C14,J14)</f>
        <v>0</v>
      </c>
    </row>
    <row r="25" spans="1:16" x14ac:dyDescent="0.3">
      <c r="A25" s="15">
        <v>2</v>
      </c>
      <c r="D25" s="22" cm="1">
        <f t="array" ref="D25">QualityCoefficientRadian($C15,D15)</f>
        <v>1.0279080479680403E-5</v>
      </c>
      <c r="E25" s="22" cm="1">
        <f t="array" ref="E25">QualityCoefficientRadian($C15,E15)</f>
        <v>0.12176012148960291</v>
      </c>
      <c r="F25" s="22" cm="1">
        <f t="array" ref="F25">QualityCoefficientRadian($C15,F15)</f>
        <v>8.4483632070147863E-2</v>
      </c>
      <c r="G25" s="22" cm="1">
        <f t="array" ref="G25">QualityCoefficientRadian($C15,G15)</f>
        <v>0.11652478096364938</v>
      </c>
      <c r="H25" s="22" cm="1">
        <f t="array" ref="H25">QualityCoefficientRadian($C15,H15)</f>
        <v>2.4287903391002619E-2</v>
      </c>
      <c r="I25" s="22" cm="1">
        <f t="array" ref="I25">QualityCoefficientRadian($C15,I15)</f>
        <v>0.12768997498105561</v>
      </c>
      <c r="J25" s="22" cm="1">
        <f t="array" ref="J25">QualityCoefficientRadian($C15,J15)</f>
        <v>8.741190670404908E-2</v>
      </c>
    </row>
    <row r="26" spans="1:16" x14ac:dyDescent="0.3">
      <c r="A26" s="15">
        <v>3</v>
      </c>
      <c r="D26" s="22" cm="1">
        <f t="array" ref="D26">QualityCoefficientRadian($C16,D16)</f>
        <v>8.9329680141858603E-6</v>
      </c>
      <c r="E26" s="22" cm="1">
        <f t="array" ref="E26">QualityCoefficientRadian($C16,E16)</f>
        <v>0.11617882608228225</v>
      </c>
      <c r="F26" s="22" cm="1">
        <f t="array" ref="F26">QualityCoefficientRadian($C16,F16)</f>
        <v>7.9165225988377053E-2</v>
      </c>
      <c r="G26" s="22" cm="1">
        <f t="array" ref="G26">QualityCoefficientRadian($C16,G16)</f>
        <v>0.10866617227714848</v>
      </c>
      <c r="H26" s="22" cm="1">
        <f t="array" ref="H26">QualityCoefficientRadian($C16,H16)</f>
        <v>4.6819427219058518E-2</v>
      </c>
      <c r="I26" s="22" cm="1">
        <f t="array" ref="I26">QualityCoefficientRadian($C16,I16)</f>
        <v>0.12705388621282321</v>
      </c>
      <c r="J26" s="22" cm="1">
        <f t="array" ref="J26">QualityCoefficientRadian($C16,J16)</f>
        <v>8.5021775256179488E-2</v>
      </c>
    </row>
    <row r="27" spans="1:16" x14ac:dyDescent="0.3">
      <c r="A27" s="15">
        <v>4</v>
      </c>
      <c r="D27" s="22" cm="1">
        <f t="array" ref="D27">QualityCoefficientRadian($C17,D17)</f>
        <v>0</v>
      </c>
      <c r="E27" s="22" cm="1">
        <f t="array" ref="E27">QualityCoefficientRadian($C17,E17)</f>
        <v>0</v>
      </c>
      <c r="F27" s="22" cm="1">
        <f t="array" ref="F27">QualityCoefficientRadian($C17,F17)</f>
        <v>0</v>
      </c>
      <c r="G27" s="22" cm="1">
        <f t="array" ref="G27">QualityCoefficientRadian($C17,G17)</f>
        <v>0</v>
      </c>
      <c r="H27" s="22" cm="1">
        <f t="array" ref="H27">QualityCoefficientRadian($C17,H17)</f>
        <v>0</v>
      </c>
      <c r="I27" s="22" cm="1">
        <f t="array" ref="I27">QualityCoefficientRadian($C17,I17)</f>
        <v>1.5563655836793977E-2</v>
      </c>
      <c r="J27" s="22" cm="1">
        <f t="array" ref="J27">QualityCoefficientRadian($C17,J17)</f>
        <v>8.7848239017036533E-3</v>
      </c>
    </row>
    <row r="28" spans="1:16" x14ac:dyDescent="0.3">
      <c r="A28" s="15">
        <v>5</v>
      </c>
      <c r="D28" s="22" cm="1">
        <f t="array" ref="D28">QualityCoefficientRadian($C18,D18)</f>
        <v>1.3919417582997085E-5</v>
      </c>
      <c r="E28" s="22" cm="1">
        <f t="array" ref="E28">QualityCoefficientRadian($C18,E18)</f>
        <v>0.11265093622653577</v>
      </c>
      <c r="F28" s="22" cm="1">
        <f t="array" ref="F28">QualityCoefficientRadian($C18,F18)</f>
        <v>7.6329065953885333E-2</v>
      </c>
      <c r="G28" s="22" cm="1">
        <f t="array" ref="G28">QualityCoefficientRadian($C18,G18)</f>
        <v>0.10774915107682936</v>
      </c>
      <c r="H28" s="22" cm="1">
        <f t="array" ref="H28">QualityCoefficientRadian($C18,H18)</f>
        <v>5.0231784989480666E-2</v>
      </c>
      <c r="I28" s="22" cm="1">
        <f t="array" ref="I28">QualityCoefficientRadian($C18,I18)</f>
        <v>0.1019145918403277</v>
      </c>
      <c r="J28" s="22" cm="1">
        <f t="array" ref="J28">QualityCoefficientRadian($C18,J18)</f>
        <v>7.0472516686082898E-2</v>
      </c>
    </row>
    <row r="29" spans="1:16" x14ac:dyDescent="0.3">
      <c r="A29" s="15">
        <v>6</v>
      </c>
      <c r="D29" s="22" cm="1">
        <f t="array" ref="D29">QualityCoefficientRadian($C19,D19)</f>
        <v>1.3273332535312932E-5</v>
      </c>
      <c r="E29" s="22" cm="1">
        <f t="array" ref="E29">QualityCoefficientRadian($C19,E19)</f>
        <v>0.12144662389000516</v>
      </c>
      <c r="F29" s="22" cm="1">
        <f t="array" ref="F29">QualityCoefficientRadian($C19,F19)</f>
        <v>8.2093500622277382E-2</v>
      </c>
      <c r="G29" s="22" cm="1">
        <f t="array" ref="G29">QualityCoefficientRadian($C19,G19)</f>
        <v>0.11315908579193046</v>
      </c>
      <c r="H29" s="22" cm="1">
        <f t="array" ref="H29">QualityCoefficientRadian($C19,H19)</f>
        <v>2.9700181053293306E-2</v>
      </c>
      <c r="I29" s="22" cm="1">
        <f t="array" ref="I29">QualityCoefficientRadian($C19,I19)</f>
        <v>0.11559401644988032</v>
      </c>
      <c r="J29" s="22" cm="1">
        <f t="array" ref="J29">QualityCoefficientRadian($C19,J19)</f>
        <v>7.9165225988376164E-2</v>
      </c>
    </row>
    <row r="30" spans="1:16" x14ac:dyDescent="0.3">
      <c r="D30" s="16"/>
      <c r="E30" s="16"/>
      <c r="F30" s="16"/>
      <c r="G30" s="16"/>
      <c r="H30" s="16"/>
      <c r="I30" s="16"/>
      <c r="J30" s="16"/>
      <c r="N30" s="19"/>
      <c r="O30" s="19"/>
      <c r="P30" s="19"/>
    </row>
    <row r="31" spans="1:16" x14ac:dyDescent="0.3">
      <c r="D31" s="16"/>
      <c r="E31" s="16"/>
      <c r="F31" s="16"/>
      <c r="G31" s="16"/>
      <c r="H31" s="16"/>
      <c r="I31" s="16"/>
      <c r="J31" s="16"/>
      <c r="N31" s="19"/>
      <c r="O31" s="19"/>
      <c r="P31" s="19"/>
    </row>
    <row r="32" spans="1:16" x14ac:dyDescent="0.3">
      <c r="B32" s="30" t="s">
        <v>82</v>
      </c>
      <c r="N32" s="19"/>
      <c r="O32" s="19"/>
      <c r="P32" s="19"/>
    </row>
    <row r="33" spans="1:17" x14ac:dyDescent="0.3">
      <c r="A33" s="15">
        <v>1</v>
      </c>
      <c r="B33" s="6" t="str" cm="1">
        <f t="array" ref="B33">RadianToSexagesimal(C33)</f>
        <v>177°46'08"</v>
      </c>
      <c r="C33" s="6" cm="1">
        <f t="array" ref="C33">EclipticToEquator($C$6,C14)</f>
        <v>3.1026544850875784</v>
      </c>
      <c r="D33" s="7" cm="1">
        <f t="array" ref="D33">computeCuspFromLatitudeInRadian($C$6,$C$9,$C$7,$A33,D$13,TRUE)</f>
        <v>3.1026544850875784</v>
      </c>
      <c r="E33" s="7" cm="1">
        <f t="array" ref="E33">computeCuspFromLatitudeInRadian($C$6,$C$9,$C$7,$A33,E$13,TRUE)</f>
        <v>3.1026544850875784</v>
      </c>
      <c r="F33" s="7" cm="1">
        <f t="array" ref="F33">computeCuspFromLatitudeInRadian($C$6,$C$9,$C$7,$A33,F$13,TRUE)</f>
        <v>3.1026544850875784</v>
      </c>
      <c r="G33" s="7" cm="1">
        <f t="array" ref="G33">computeCuspFromLatitudeInRadian($C$6,$C$9,$C$7,$A33,G$13,TRUE)</f>
        <v>3.0856818704710607</v>
      </c>
      <c r="H33" s="7" cm="1">
        <f t="array" ref="H33">computeCuspFromLatitudeInRadian($C$6,$C$9,$C$7,$A33,H$13,TRUE)</f>
        <v>3.0856818704710607</v>
      </c>
      <c r="I33" s="7" cm="1">
        <f t="array" ref="I33">computeCuspFromLatitudeInRadian($C$6,$C$9,$C$7,$A33,I$13,TRUE)</f>
        <v>3.1026544850875784</v>
      </c>
      <c r="J33" s="7" cm="1">
        <f t="array" ref="J33">computeCuspFromLatitudeInRadian($C$6,$C$9,$C$7,$A33,J$13,TRUE)</f>
        <v>3.1026544850875784</v>
      </c>
    </row>
    <row r="34" spans="1:17" x14ac:dyDescent="0.3">
      <c r="A34" s="15">
        <v>2</v>
      </c>
      <c r="B34" s="6" t="str" cm="1">
        <f t="array" ref="B34">RadianToSexagesimal(C34)</f>
        <v>200°50'45"</v>
      </c>
      <c r="C34" s="6" cm="1">
        <f t="array" ref="C34">EclipticToEquator($C$6,C15)</f>
        <v>3.5054201846639059</v>
      </c>
      <c r="D34" s="7" cm="1">
        <f t="array" ref="D34">computeCuspFromLatitudeInRadian($C$6,$C$9,$C$7,$A34,D$13,TRUE)</f>
        <v>3.5054298338676251</v>
      </c>
      <c r="E34" s="7" cm="1">
        <f t="array" ref="E34">computeCuspFromLatitudeInRadian($C$6,$C$9,$C$7,$A34,E$13,TRUE)</f>
        <v>3.6205957224803713</v>
      </c>
      <c r="F34" s="7" cm="1">
        <f t="array" ref="F34">computeCuspFromLatitudeInRadian($C$6,$C$9,$C$7,$A34,F$13,TRUE)</f>
        <v>3.5851388297723639</v>
      </c>
      <c r="G34" s="7" cm="1">
        <f t="array" ref="G34">computeCuspFromLatitudeInRadian($C$6,$C$9,$C$7,$A34,G$13,TRUE)</f>
        <v>3.7703741301374034</v>
      </c>
      <c r="H34" s="7" cm="1">
        <f t="array" ref="H34">computeCuspFromLatitudeInRadian($C$6,$C$9,$C$7,$A34,H$13,TRUE)</f>
        <v>3.6092806460693594</v>
      </c>
      <c r="I34" s="7" cm="1">
        <f t="array" ref="I34">computeCuspFromLatitudeInRadian($C$6,$C$9,$C$7,$A34,I$13,TRUE)</f>
        <v>3.6262532606858771</v>
      </c>
      <c r="J34" s="7" cm="1">
        <f t="array" ref="J34">computeCuspFromLatitudeInRadian($C$6,$C$9,$C$7,$A34,J$13,TRUE)</f>
        <v>3.5879175759393234</v>
      </c>
    </row>
    <row r="35" spans="1:17" x14ac:dyDescent="0.3">
      <c r="A35" s="15">
        <v>3</v>
      </c>
      <c r="B35" s="6" t="str" cm="1">
        <f t="array" ref="B35">RadianToSexagesimal(C35)</f>
        <v>230°15'58"</v>
      </c>
      <c r="C35" s="6" cm="1">
        <f t="array" ref="C35">EclipticToEquator($C$6,C16)</f>
        <v>4.0189037664157263</v>
      </c>
      <c r="D35" s="7" cm="1">
        <f t="array" ref="D35">computeCuspFromLatitudeInRadian($C$6,$C$9,$C$7,$A35,D$13,TRUE)</f>
        <v>4.0189128755204155</v>
      </c>
      <c r="E35" s="7" cm="1">
        <f t="array" ref="E35">computeCuspFromLatitudeInRadian($C$6,$C$9,$C$7,$A35,E$13,TRUE)</f>
        <v>4.1385369598731643</v>
      </c>
      <c r="F35" s="7" cm="1">
        <f t="array" ref="F35">computeCuspFromLatitudeInRadian($C$6,$C$9,$C$7,$A35,F$13,TRUE)</f>
        <v>4.1001730812689381</v>
      </c>
      <c r="G35" s="7" cm="1">
        <f t="array" ref="G35">computeCuspFromLatitudeInRadian($C$6,$C$9,$C$7,$A35,G$13,TRUE)</f>
        <v>4.268862264886943</v>
      </c>
      <c r="H35" s="7" cm="1">
        <f t="array" ref="H35">computeCuspFromLatitudeInRadian($C$6,$C$9,$C$7,$A35,H$13,TRUE)</f>
        <v>4.1328794216676581</v>
      </c>
      <c r="I35" s="7" cm="1">
        <f t="array" ref="I35">computeCuspFromLatitudeInRadian($C$6,$C$9,$C$7,$A35,I$13,TRUE)</f>
        <v>4.1498520362841758</v>
      </c>
      <c r="J35" s="7" cm="1">
        <f t="array" ref="J35">computeCuspFromLatitudeInRadian($C$6,$C$9,$C$7,$A35,J$13,TRUE)</f>
        <v>4.1062279647502855</v>
      </c>
    </row>
    <row r="36" spans="1:17" x14ac:dyDescent="0.3">
      <c r="A36" s="15">
        <v>4</v>
      </c>
      <c r="B36" s="6" t="str" cm="1">
        <f t="array" ref="B36">RadianToSexagesimal(C36)</f>
        <v>266°47'48"</v>
      </c>
      <c r="C36" s="6" cm="1">
        <f t="array" ref="C36">EclipticToEquator($C$6,C17)</f>
        <v>4.6564781972659572</v>
      </c>
      <c r="D36" s="7" cm="1">
        <f t="array" ref="D36">computeCuspFromLatitudeInRadian($C$6,$C$9,$C$7,$A36,D$13,TRUE)</f>
        <v>4.6564781972659572</v>
      </c>
      <c r="E36" s="7" cm="1">
        <f t="array" ref="E36">computeCuspFromLatitudeInRadian($C$6,$C$9,$C$7,$A36,E$13,TRUE)</f>
        <v>4.6564781972659572</v>
      </c>
      <c r="F36" s="7" cm="1">
        <f t="array" ref="F36">computeCuspFromLatitudeInRadian($C$6,$C$9,$C$7,$A36,F$13,TRUE)</f>
        <v>4.6564781972659572</v>
      </c>
      <c r="G36" s="7" cm="1">
        <f t="array" ref="G36">computeCuspFromLatitudeInRadian($C$6,$C$9,$C$7,$A36,G$13,TRUE)</f>
        <v>4.6564781972659572</v>
      </c>
      <c r="H36" s="7" cm="1">
        <f t="array" ref="H36">computeCuspFromLatitudeInRadian($C$6,$C$9,$C$7,$A36,H$13,TRUE)</f>
        <v>4.6564781972659572</v>
      </c>
      <c r="I36" s="7" cm="1">
        <f t="array" ref="I36">computeCuspFromLatitudeInRadian($C$6,$C$9,$C$7,$A36,I$13,TRUE)</f>
        <v>4.6734508118824749</v>
      </c>
      <c r="J36" s="7" cm="1">
        <f t="array" ref="J36">computeCuspFromLatitudeInRadian($C$6,$C$9,$C$7,$A36,J$13,TRUE)</f>
        <v>4.6660577687527285</v>
      </c>
    </row>
    <row r="37" spans="1:17" x14ac:dyDescent="0.3">
      <c r="A37" s="15">
        <v>5</v>
      </c>
      <c r="B37" s="6" t="str" cm="1">
        <f t="array" ref="B37">RadianToSexagesimal(C37)</f>
        <v>303°52'17"</v>
      </c>
      <c r="C37" s="6" cm="1">
        <f t="array" ref="C37">EclipticToEquator($C$6,C18)</f>
        <v>5.3035584080321856</v>
      </c>
      <c r="D37" s="7" cm="1">
        <f t="array" ref="D37">computeCuspFromLatitudeInRadian($C$6,$C$9,$C$7,$A37,D$13,TRUE)</f>
        <v>5.3035439764659227</v>
      </c>
      <c r="E37" s="7" cm="1">
        <f t="array" ref="E37">computeCuspFromLatitudeInRadian($C$6,$C$9,$C$7,$A37,E$13,TRUE)</f>
        <v>5.1857345110697617</v>
      </c>
      <c r="F37" s="7" cm="1">
        <f t="array" ref="F37">computeCuspFromLatitudeInRadian($C$6,$C$9,$C$7,$A37,F$13,TRUE)</f>
        <v>5.223943528057605</v>
      </c>
      <c r="G37" s="7" cm="1">
        <f t="array" ref="G37">computeCuspFromLatitudeInRadian($C$6,$C$9,$C$7,$A37,G$13,TRUE)</f>
        <v>5.0440941296449706</v>
      </c>
      <c r="H37" s="7" cm="1">
        <f t="array" ref="H37">computeCuspFromLatitudeInRadian($C$6,$C$9,$C$7,$A37,H$13,TRUE)</f>
        <v>5.1800769728642564</v>
      </c>
      <c r="I37" s="7" cm="1">
        <f t="array" ref="I37">computeCuspFromLatitudeInRadian($C$6,$C$9,$C$7,$A37,I$13,TRUE)</f>
        <v>5.1970495874807741</v>
      </c>
      <c r="J37" s="7" cm="1">
        <f t="array" ref="J37">computeCuspFromLatitudeInRadian($C$6,$C$9,$C$7,$A37,J$13,TRUE)</f>
        <v>5.2300853129905835</v>
      </c>
    </row>
    <row r="38" spans="1:17" x14ac:dyDescent="0.3">
      <c r="A38" s="15">
        <v>6</v>
      </c>
      <c r="B38" s="6" t="str" cm="1">
        <f t="array" ref="B38">RadianToSexagesimal(C38)</f>
        <v>334°06'46"</v>
      </c>
      <c r="C38" s="6" cm="1">
        <f t="array" ref="C38">EclipticToEquator($C$6,C19)</f>
        <v>5.8313686507252296</v>
      </c>
      <c r="D38" s="7" cm="1">
        <f t="array" ref="D38">computeCuspFromLatitudeInRadian($C$6,$C$9,$C$7,$A38,D$13,TRUE)</f>
        <v>5.8313560427311844</v>
      </c>
      <c r="E38" s="7" cm="1">
        <f t="array" ref="E38">computeCuspFromLatitudeInRadian($C$6,$C$9,$C$7,$A38,E$13,TRUE)</f>
        <v>5.714990824873567</v>
      </c>
      <c r="F38" s="7" cm="1">
        <f t="array" ref="F38">computeCuspFromLatitudeInRadian($C$6,$C$9,$C$7,$A38,F$13,TRUE)</f>
        <v>5.752933167516507</v>
      </c>
      <c r="G38" s="7" cm="1">
        <f t="array" ref="G38">computeCuspFromLatitudeInRadian($C$6,$C$9,$C$7,$A38,G$13,TRUE)</f>
        <v>5.5425822643945111</v>
      </c>
      <c r="H38" s="7" cm="1">
        <f t="array" ref="H38">computeCuspFromLatitudeInRadian($C$6,$C$9,$C$7,$A38,H$13,TRUE)</f>
        <v>5.7036757484625547</v>
      </c>
      <c r="I38" s="7" cm="1">
        <f t="array" ref="I38">computeCuspFromLatitudeInRadian($C$6,$C$9,$C$7,$A38,I$13,TRUE)</f>
        <v>5.7206483630790723</v>
      </c>
      <c r="J38" s="7" cm="1">
        <f t="array" ref="J38">computeCuspFromLatitudeInRadian($C$6,$C$9,$C$7,$A38,J$13,TRUE)</f>
        <v>5.7557472850815792</v>
      </c>
    </row>
    <row r="42" spans="1:17" x14ac:dyDescent="0.3">
      <c r="A42" s="32" t="s">
        <v>84</v>
      </c>
      <c r="B42" s="33"/>
      <c r="C42" s="33"/>
      <c r="D42" s="33"/>
      <c r="E42" s="33"/>
      <c r="F42" s="33"/>
      <c r="G42" s="33"/>
      <c r="H42" s="33"/>
      <c r="I42" s="33"/>
      <c r="J42" s="33"/>
      <c r="L42" s="32" t="s">
        <v>85</v>
      </c>
      <c r="M42" s="33"/>
      <c r="N42" s="33"/>
      <c r="O42" s="33"/>
      <c r="P42" s="33"/>
      <c r="Q42" s="33"/>
    </row>
    <row r="45" spans="1:17" x14ac:dyDescent="0.3">
      <c r="A45" s="17" t="s">
        <v>0</v>
      </c>
      <c r="B45" s="2" t="s">
        <v>3</v>
      </c>
      <c r="N45" s="41"/>
      <c r="O45" s="41" t="str" cm="1">
        <f t="array" ref="O45">RetrieveLatitudeRangeSexagesimal($B$45,$B$46,$B$47,$B$49,O6)</f>
        <v>39°38'35"</v>
      </c>
      <c r="P45" s="41"/>
    </row>
    <row r="46" spans="1:17" x14ac:dyDescent="0.3">
      <c r="A46" s="15" t="s">
        <v>23</v>
      </c>
      <c r="B46" s="6" t="str">
        <f>B53</f>
        <v>177°33'59"</v>
      </c>
      <c r="E46" s="20"/>
      <c r="N46" s="41" t="str" cm="1">
        <f t="array" ref="N46">RetrieveLatitudeRangeSexagesimal($B$45,$B$46,$B$47,$B$49,N7)</f>
        <v>37°37'52"</v>
      </c>
      <c r="O46" s="41" t="str" cm="1">
        <f t="array" ref="O46">RetrieveLatitudeRangeSexagesimal($B$45,$B$46,$B$47,$B$49,O7)</f>
        <v>44°59'49"</v>
      </c>
      <c r="P46" s="41" t="str" cm="1">
        <f t="array" ref="P46">RetrieveLatitudeRangeSexagesimal($B$45,$B$46,$B$47,$B$49,P7)</f>
        <v>51°41'23"</v>
      </c>
    </row>
    <row r="47" spans="1:17" x14ac:dyDescent="0.3">
      <c r="A47" s="15" t="s">
        <v>24</v>
      </c>
      <c r="B47" s="6" t="str">
        <f>B56</f>
        <v>267.03'47</v>
      </c>
      <c r="E47" s="20"/>
      <c r="N47" s="41"/>
      <c r="O47" s="41" t="str" cm="1">
        <f t="array" ref="O47">RetrieveLatitudeRangeSexagesimal($B$45,$B$46,$B$47,$B$49,O8)</f>
        <v>49°30'34"</v>
      </c>
      <c r="P47" s="41"/>
    </row>
    <row r="48" spans="1:17" x14ac:dyDescent="0.3">
      <c r="A48" s="15" t="s">
        <v>1</v>
      </c>
      <c r="B48" s="6" t="str" cm="1">
        <f t="array" ref="B48">RetrieveLatitudeFromLongSexagesimal($B$45,$B$46,$B$47)</f>
        <v>44°59'49"</v>
      </c>
      <c r="E48" s="20"/>
    </row>
    <row r="49" spans="1:15" x14ac:dyDescent="0.3">
      <c r="A49" s="15" t="s">
        <v>15</v>
      </c>
      <c r="B49" s="2" t="s">
        <v>13</v>
      </c>
      <c r="E49" s="20"/>
    </row>
    <row r="50" spans="1:15" x14ac:dyDescent="0.3">
      <c r="E50" s="20"/>
    </row>
    <row r="51" spans="1:15" x14ac:dyDescent="0.3">
      <c r="D51" s="15" t="s">
        <v>2</v>
      </c>
      <c r="E51" s="15" t="s">
        <v>5</v>
      </c>
      <c r="F51" s="15" t="s">
        <v>7</v>
      </c>
      <c r="G51" s="15" t="s">
        <v>8</v>
      </c>
      <c r="H51" s="15" t="s">
        <v>9</v>
      </c>
      <c r="I51" s="15" t="s">
        <v>10</v>
      </c>
      <c r="J51" s="15" t="s">
        <v>11</v>
      </c>
    </row>
    <row r="52" spans="1:15" x14ac:dyDescent="0.3">
      <c r="A52" s="15" t="s">
        <v>12</v>
      </c>
      <c r="B52" s="15" t="s">
        <v>14</v>
      </c>
      <c r="D52" s="24">
        <v>0</v>
      </c>
      <c r="E52" s="24">
        <v>1</v>
      </c>
      <c r="F52" s="24">
        <v>2</v>
      </c>
      <c r="G52" s="24">
        <v>3</v>
      </c>
      <c r="H52" s="24">
        <v>4</v>
      </c>
      <c r="I52" s="24">
        <v>5</v>
      </c>
      <c r="J52" s="24">
        <v>6</v>
      </c>
      <c r="O52" s="41" t="str" cm="1">
        <f t="array" ref="O52">RetrieveLatitudeFromLongSexagesimal($B$45,B53,B56)</f>
        <v>44°59'49"</v>
      </c>
    </row>
    <row r="53" spans="1:15" x14ac:dyDescent="0.3">
      <c r="A53" s="24">
        <v>1</v>
      </c>
      <c r="B53" s="8" t="s">
        <v>56</v>
      </c>
      <c r="D53" t="str" cm="1">
        <f t="array" ref="D53">computeCuspFromLongitudeInSexagesimal($B$45,$B$46,$B$47,$A53,D$52,FALSE)</f>
        <v>177°33'59"</v>
      </c>
      <c r="E53" t="str" cm="1">
        <f t="array" ref="E53">computeCuspFromLongitudeInSexagesimal($B$45,$B$46,$B$47,$A53,E$52,FALSE)</f>
        <v>177°33'59"</v>
      </c>
      <c r="F53" t="str" cm="1">
        <f t="array" ref="F53">computeCuspFromLongitudeInSexagesimal($B$45,$B$46,$B$47,$A53,F$52,FALSE)</f>
        <v>177°33'59"</v>
      </c>
      <c r="G53" t="str" cm="1">
        <f t="array" ref="G53">computeCuspFromLongitudeInSexagesimal($B$45,$B$46,$B$47,$A53,G$52,FALSE)</f>
        <v>177°33'59"</v>
      </c>
      <c r="H53" t="str" cm="1">
        <f t="array" ref="H53">computeCuspFromLongitudeInSexagesimal($B$45,$B$46,$B$47,$A53,H$52,FALSE)</f>
        <v>177°33'59"</v>
      </c>
      <c r="I53" t="str" cm="1">
        <f t="array" ref="I53">computeCuspFromLongitudeInSexagesimal($B$45,$B$46,$B$47,$A53,I$52,FALSE)</f>
        <v>177°33'59"</v>
      </c>
      <c r="J53" t="str" cm="1">
        <f t="array" ref="J53">computeCuspFromLongitudeInSexagesimal($B$45,$B$46,$B$47,$A53,J$52,FALSE)</f>
        <v>177°33'59"</v>
      </c>
    </row>
    <row r="54" spans="1:15" x14ac:dyDescent="0.3">
      <c r="A54" s="24">
        <v>2</v>
      </c>
      <c r="B54" s="2" t="s">
        <v>54</v>
      </c>
      <c r="D54" t="str" cm="1">
        <f t="array" ref="D54">computeCuspFromLongitudeInSexagesimal($B$45,$B$46,$B$47,$A54,D$52,FALSE)</f>
        <v>202°33'31"</v>
      </c>
      <c r="E54" t="str" cm="1">
        <f t="array" ref="E54">computeCuspFromLongitudeInSexagesimal($B$45,$B$46,$B$47,$A54,E$52,FALSE)</f>
        <v>209°32'04"</v>
      </c>
      <c r="F54" t="str" cm="1">
        <f t="array" ref="F54">computeCuspFromLongitudeInSexagesimal($B$45,$B$46,$B$47,$A54,F$52,FALSE)</f>
        <v>207°23'55"</v>
      </c>
      <c r="G54" t="str" cm="1">
        <f t="array" ref="G54">computeCuspFromLongitudeInSexagesimal($B$45,$B$46,$B$47,$A54,G$52,FALSE)</f>
        <v>209°14'04"</v>
      </c>
      <c r="H54" t="str" cm="1">
        <f t="array" ref="H54">computeCuspFromLongitudeInSexagesimal($B$45,$B$46,$B$47,$A54,H$52,FALSE)</f>
        <v>201°09'59"</v>
      </c>
      <c r="I54" t="str" cm="1">
        <f t="array" ref="I54">computeCuspFromLongitudeInSexagesimal($B$45,$B$46,$B$47,$A54,I$52,FALSE)</f>
        <v>209°52'27"</v>
      </c>
      <c r="J54" t="str" cm="1">
        <f t="array" ref="J54">computeCuspFromLongitudeInSexagesimal($B$45,$B$46,$B$47,$A54,J$52,FALSE)</f>
        <v>207°33'59"</v>
      </c>
    </row>
    <row r="55" spans="1:15" x14ac:dyDescent="0.3">
      <c r="A55" s="24">
        <v>3</v>
      </c>
      <c r="B55" s="2" t="s">
        <v>55</v>
      </c>
      <c r="D55" t="str" cm="1">
        <f t="array" ref="D55">computeCuspFromLongitudeInSexagesimal($B$45,$B$46,$B$47,$A55,D$52,FALSE)</f>
        <v>232°41'44"</v>
      </c>
      <c r="E55" t="str" cm="1">
        <f t="array" ref="E55">computeCuspFromLongitudeInSexagesimal($B$45,$B$46,$B$47,$A55,E$52,FALSE)</f>
        <v>239°21'06"</v>
      </c>
      <c r="F55" t="str" cm="1">
        <f t="array" ref="F55">computeCuspFromLongitudeInSexagesimal($B$45,$B$46,$B$47,$A55,F$52,FALSE)</f>
        <v>237°13'51"</v>
      </c>
      <c r="G55" t="str" cm="1">
        <f t="array" ref="G55">computeCuspFromLongitudeInSexagesimal($B$45,$B$46,$B$47,$A55,G$52,FALSE)</f>
        <v>238°55'16"</v>
      </c>
      <c r="H55" t="str" cm="1">
        <f t="array" ref="H55">computeCuspFromLongitudeInSexagesimal($B$45,$B$46,$B$47,$A55,H$52,FALSE)</f>
        <v>230°00'45"</v>
      </c>
      <c r="I55" t="str" cm="1">
        <f t="array" ref="I55">computeCuspFromLongitudeInSexagesimal($B$45,$B$46,$B$47,$A55,I$52,FALSE)</f>
        <v>239°58'29"</v>
      </c>
      <c r="J55" t="str" cm="1">
        <f t="array" ref="J55">computeCuspFromLongitudeInSexagesimal($B$45,$B$46,$B$47,$A55,J$52,FALSE)</f>
        <v>237°33'59"</v>
      </c>
    </row>
    <row r="56" spans="1:15" x14ac:dyDescent="0.3">
      <c r="A56" s="24">
        <v>4</v>
      </c>
      <c r="B56" s="2" t="s">
        <v>16</v>
      </c>
      <c r="D56" t="str" cm="1">
        <f t="array" ref="D56">computeCuspFromLongitudeInSexagesimal($B$45,$B$46,$B$47,$A56,D$52,FALSE)</f>
        <v>267°03'47"</v>
      </c>
      <c r="E56" t="str" cm="1">
        <f t="array" ref="E56">computeCuspFromLongitudeInSexagesimal($B$45,$B$46,$B$47,$A56,E$52,FALSE)</f>
        <v>267°03'47"</v>
      </c>
      <c r="F56" t="str" cm="1">
        <f t="array" ref="F56">computeCuspFromLongitudeInSexagesimal($B$45,$B$46,$B$47,$A56,F$52,FALSE)</f>
        <v>267°03'47"</v>
      </c>
      <c r="G56" t="str" cm="1">
        <f t="array" ref="G56">computeCuspFromLongitudeInSexagesimal($B$45,$B$46,$B$47,$A56,G$52,FALSE)</f>
        <v>267°03'47"</v>
      </c>
      <c r="H56" t="str" cm="1">
        <f t="array" ref="H56">computeCuspFromLongitudeInSexagesimal($B$45,$B$46,$B$47,$A56,H$52,FALSE)</f>
        <v>267°03'47"</v>
      </c>
      <c r="I56" t="str" cm="1">
        <f t="array" ref="I56">computeCuspFromLongitudeInSexagesimal($B$45,$B$46,$B$47,$A56,I$52,FALSE)</f>
        <v>267°57'17"</v>
      </c>
      <c r="J56" t="str" cm="1">
        <f t="array" ref="J56">computeCuspFromLongitudeInSexagesimal($B$45,$B$46,$B$47,$A56,J$52,FALSE)</f>
        <v>267°33'59"</v>
      </c>
    </row>
    <row r="57" spans="1:15" x14ac:dyDescent="0.3">
      <c r="A57" s="24">
        <v>5</v>
      </c>
      <c r="B57" s="2" t="s">
        <v>17</v>
      </c>
      <c r="D57" t="str" cm="1">
        <f t="array" ref="D57">computeCuspFromLongitudeInSexagesimal($B$45,$B$46,$B$47,$A57,D$52,FALSE)</f>
        <v>301°36'12"</v>
      </c>
      <c r="E57" t="str" cm="1">
        <f t="array" ref="E57">computeCuspFromLongitudeInSexagesimal($B$45,$B$46,$B$47,$A57,E$52,FALSE)</f>
        <v>295°08'59"</v>
      </c>
      <c r="F57" t="str" cm="1">
        <f t="array" ref="F57">computeCuspFromLongitudeInSexagesimal($B$45,$B$46,$B$47,$A57,F$52,FALSE)</f>
        <v>297°13'51"</v>
      </c>
      <c r="G57" t="str" cm="1">
        <f t="array" ref="G57">computeCuspFromLongitudeInSexagesimal($B$45,$B$46,$B$47,$A57,G$52,FALSE)</f>
        <v>295°25'50"</v>
      </c>
      <c r="H57" t="str" cm="1">
        <f t="array" ref="H57">computeCuspFromLongitudeInSexagesimal($B$45,$B$46,$B$47,$A57,H$52,FALSE)</f>
        <v>304°28'56"</v>
      </c>
      <c r="I57" t="str" cm="1">
        <f t="array" ref="I57">computeCuspFromLongitudeInSexagesimal($B$45,$B$46,$B$47,$A57,I$52,FALSE)</f>
        <v>295°45'54"</v>
      </c>
      <c r="J57" t="str" cm="1">
        <f t="array" ref="J57">computeCuspFromLongitudeInSexagesimal($B$45,$B$46,$B$47,$A57,J$52,FALSE)</f>
        <v>297°33'59"</v>
      </c>
    </row>
    <row r="58" spans="1:15" x14ac:dyDescent="0.3">
      <c r="A58" s="24">
        <v>6</v>
      </c>
      <c r="B58" s="2" t="s">
        <v>18</v>
      </c>
      <c r="D58" t="str" cm="1">
        <f t="array" ref="D58">computeCuspFromLongitudeInSexagesimal($B$45,$B$46,$B$47,$A58,D$52,FALSE)</f>
        <v>332°06'05"</v>
      </c>
      <c r="E58" t="str" cm="1">
        <f t="array" ref="E58">computeCuspFromLongitudeInSexagesimal($B$45,$B$46,$B$47,$A58,E$52,FALSE)</f>
        <v>325°08'38"</v>
      </c>
      <c r="F58" t="str" cm="1">
        <f t="array" ref="F58">computeCuspFromLongitudeInSexagesimal($B$45,$B$46,$B$47,$A58,F$52,FALSE)</f>
        <v>327°23'55"</v>
      </c>
      <c r="G58" t="str" cm="1">
        <f t="array" ref="G58">computeCuspFromLongitudeInSexagesimal($B$45,$B$46,$B$47,$A58,G$52,FALSE)</f>
        <v>325°37'07"</v>
      </c>
      <c r="H58" t="str" cm="1">
        <f t="array" ref="H58">computeCuspFromLongitudeInSexagesimal($B$45,$B$46,$B$47,$A58,H$52,FALSE)</f>
        <v>333°48'14"</v>
      </c>
      <c r="I58" t="str" cm="1">
        <f t="array" ref="I58">computeCuspFromLongitudeInSexagesimal($B$45,$B$46,$B$47,$A58,I$52,FALSE)</f>
        <v>325°28'45"</v>
      </c>
      <c r="J58" t="str" cm="1">
        <f t="array" ref="J58">computeCuspFromLongitudeInSexagesimal($B$45,$B$46,$B$47,$A58,J$52,FALSE)</f>
        <v>327°33'59"</v>
      </c>
    </row>
    <row r="61" spans="1:15" x14ac:dyDescent="0.3">
      <c r="B61" s="15" t="s">
        <v>57</v>
      </c>
    </row>
    <row r="62" spans="1:15" x14ac:dyDescent="0.3">
      <c r="A62" s="15">
        <v>1</v>
      </c>
      <c r="D62" s="23" cm="1">
        <f t="array" ref="D62">QualityCoefficientDegree($B53,D53)</f>
        <v>0</v>
      </c>
      <c r="E62" s="23" cm="1">
        <f t="array" ref="E62">QualityCoefficientDegree($B53,E53)</f>
        <v>0</v>
      </c>
      <c r="F62" s="23" cm="1">
        <f t="array" ref="F62">QualityCoefficientDegree($B53,F53)</f>
        <v>0</v>
      </c>
      <c r="G62" s="23" cm="1">
        <f t="array" ref="G62">QualityCoefficientDegree($B53,G53)</f>
        <v>0</v>
      </c>
      <c r="H62" s="23" cm="1">
        <f t="array" ref="H62">QualityCoefficientDegree($B53,H53)</f>
        <v>0</v>
      </c>
      <c r="I62" s="23" cm="1">
        <f t="array" ref="I62">QualityCoefficientDegree($B53,I53)</f>
        <v>0</v>
      </c>
      <c r="J62" s="23" cm="1">
        <f t="array" ref="J62">QualityCoefficientDegree($B53,J53)</f>
        <v>0</v>
      </c>
    </row>
    <row r="63" spans="1:15" x14ac:dyDescent="0.3">
      <c r="A63" s="15">
        <v>2</v>
      </c>
      <c r="D63" s="23" cm="1">
        <f t="array" ref="D63">QualityCoefficientDegree($B54,D54)</f>
        <v>5.5555555555834813E-4</v>
      </c>
      <c r="E63" s="23" cm="1">
        <f t="array" ref="E63">QualityCoefficientDegree($B54,E54)</f>
        <v>6.9763888888888692</v>
      </c>
      <c r="F63" s="23" cm="1">
        <f t="array" ref="F63">QualityCoefficientDegree($B54,F54)</f>
        <v>4.8405555555555368</v>
      </c>
      <c r="G63" s="23" cm="1">
        <f t="array" ref="G63">QualityCoefficientDegree($B54,G54)</f>
        <v>6.6763888888888623</v>
      </c>
      <c r="H63" s="23" cm="1">
        <f t="array" ref="H63">QualityCoefficientDegree($B54,H54)</f>
        <v>1.3916666666666904</v>
      </c>
      <c r="I63" s="23" cm="1">
        <f t="array" ref="I63">QualityCoefficientDegree($B54,I54)</f>
        <v>7.3161111111110939</v>
      </c>
      <c r="J63" s="23" cm="1">
        <f t="array" ref="J63">QualityCoefficientDegree($B54,J54)</f>
        <v>5.0083333333333186</v>
      </c>
    </row>
    <row r="64" spans="1:15" x14ac:dyDescent="0.3">
      <c r="A64" s="15">
        <v>3</v>
      </c>
      <c r="D64" s="23" cm="1">
        <f t="array" ref="D64">QualityCoefficientDegree($B55,D55)</f>
        <v>5.5555555555834813E-4</v>
      </c>
      <c r="E64" s="23" cm="1">
        <f t="array" ref="E64">QualityCoefficientDegree($B55,E55)</f>
        <v>6.6566666666666432</v>
      </c>
      <c r="F64" s="23" cm="1">
        <f t="array" ref="F64">QualityCoefficientDegree($B55,F55)</f>
        <v>4.5358333333333354</v>
      </c>
      <c r="G64" s="23" cm="1">
        <f t="array" ref="G64">QualityCoefficientDegree($B55,G55)</f>
        <v>6.2261111111110603</v>
      </c>
      <c r="H64" s="23" cm="1">
        <f t="array" ref="H64">QualityCoefficientDegree($B55,H55)</f>
        <v>2.6824999999999983</v>
      </c>
      <c r="I64" s="23" cm="1">
        <f t="array" ref="I64">QualityCoefficientDegree($B55,I55)</f>
        <v>7.279722222222226</v>
      </c>
      <c r="J64" s="23" cm="1">
        <f t="array" ref="J64">QualityCoefficientDegree($B55,J55)</f>
        <v>4.8713888888888981</v>
      </c>
    </row>
    <row r="65" spans="1:10" x14ac:dyDescent="0.3">
      <c r="A65" s="15">
        <v>4</v>
      </c>
      <c r="D65" s="23" cm="1">
        <f t="array" ref="D65">QualityCoefficientDegree($B56,D56)</f>
        <v>0</v>
      </c>
      <c r="E65" s="23" cm="1">
        <f t="array" ref="E65">QualityCoefficientDegree($B56,E56)</f>
        <v>0</v>
      </c>
      <c r="F65" s="23" cm="1">
        <f t="array" ref="F65">QualityCoefficientDegree($B56,F56)</f>
        <v>0</v>
      </c>
      <c r="G65" s="23" cm="1">
        <f t="array" ref="G65">QualityCoefficientDegree($B56,G56)</f>
        <v>0</v>
      </c>
      <c r="H65" s="23" cm="1">
        <f t="array" ref="H65">QualityCoefficientDegree($B56,H56)</f>
        <v>0</v>
      </c>
      <c r="I65" s="23" cm="1">
        <f t="array" ref="I65">QualityCoefficientDegree($B56,I56)</f>
        <v>0.8916666666665688</v>
      </c>
      <c r="J65" s="23" cm="1">
        <f t="array" ref="J65">QualityCoefficientDegree($B56,J56)</f>
        <v>0.50333333333331898</v>
      </c>
    </row>
    <row r="66" spans="1:10" x14ac:dyDescent="0.3">
      <c r="A66" s="15">
        <v>5</v>
      </c>
      <c r="D66" s="23" cm="1">
        <f t="array" ref="D66">QualityCoefficientDegree($B57,D57)</f>
        <v>8.333333333375222E-4</v>
      </c>
      <c r="E66" s="23" cm="1">
        <f t="array" ref="E66">QualityCoefficientDegree($B57,E57)</f>
        <v>6.4544444444444729</v>
      </c>
      <c r="F66" s="23" cm="1">
        <f t="array" ref="F66">QualityCoefficientDegree($B57,F57)</f>
        <v>4.3733333333334343</v>
      </c>
      <c r="G66" s="23" cm="1">
        <f t="array" ref="G66">QualityCoefficientDegree($B57,G57)</f>
        <v>6.1736111111111018</v>
      </c>
      <c r="H66" s="23" cm="1">
        <f t="array" ref="H66">QualityCoefficientDegree($B57,H57)</f>
        <v>2.8780555555555192</v>
      </c>
      <c r="I66" s="23" cm="1">
        <f t="array" ref="I66">QualityCoefficientDegree($B57,I57)</f>
        <v>5.8391666666667064</v>
      </c>
      <c r="J66" s="23" cm="1">
        <f t="array" ref="J66">QualityCoefficientDegree($B57,J57)</f>
        <v>4.0377777777777695</v>
      </c>
    </row>
    <row r="67" spans="1:10" x14ac:dyDescent="0.3">
      <c r="A67" s="15">
        <v>6</v>
      </c>
      <c r="D67" s="23" cm="1">
        <f t="array" ref="D67">QualityCoefficientDegree($B58,D58)</f>
        <v>8.333333333375222E-4</v>
      </c>
      <c r="E67" s="23" cm="1">
        <f t="array" ref="E67">QualityCoefficientDegree($B58,E58)</f>
        <v>6.9583333333333499</v>
      </c>
      <c r="F67" s="23" cm="1">
        <f t="array" ref="F67">QualityCoefficientDegree($B58,F58)</f>
        <v>4.7036111111111421</v>
      </c>
      <c r="G67" s="23" cm="1">
        <f t="array" ref="G67">QualityCoefficientDegree($B58,G58)</f>
        <v>6.4836111111110828</v>
      </c>
      <c r="H67" s="23" cm="1">
        <f t="array" ref="H67">QualityCoefficientDegree($B58,H58)</f>
        <v>1.7016666666666203</v>
      </c>
      <c r="I67" s="23" cm="1">
        <f t="array" ref="I67">QualityCoefficientDegree($B58,I58)</f>
        <v>6.6230555555556174</v>
      </c>
      <c r="J67" s="23" cm="1">
        <f t="array" ref="J67">QualityCoefficientDegree($B58,J58)</f>
        <v>4.5358333333333354</v>
      </c>
    </row>
    <row r="70" spans="1:10" x14ac:dyDescent="0.3">
      <c r="B70" s="15" t="s">
        <v>53</v>
      </c>
      <c r="J70" s="20"/>
    </row>
    <row r="71" spans="1:10" x14ac:dyDescent="0.3">
      <c r="A71" s="15">
        <v>1</v>
      </c>
      <c r="B71" t="str" cm="1">
        <f t="array" ref="B71">RadianToSexagesimal(EclipticToEquator(SexagesimalToRadian($B$45),SexagesimalToRadian(B53)))</f>
        <v>177°46'08"</v>
      </c>
      <c r="D71" t="str" cm="1">
        <f t="array" ref="D71">computeCuspFromLongitudeInSexagesimal($B$45,$B$46,$B$47,$A71,D$52,TRUE)</f>
        <v>177°46'08"</v>
      </c>
      <c r="E71" t="str" cm="1">
        <f t="array" ref="E71">computeCuspFromLongitudeInSexagesimal($B$45,$B$46,$B$47,$A71,E$52,TRUE)</f>
        <v>177°46'08"</v>
      </c>
      <c r="F71" t="str" cm="1">
        <f t="array" ref="F71">computeCuspFromLongitudeInSexagesimal($B$45,$B$46,$B$47,$A71,F$52,TRUE)</f>
        <v>177°46'08"</v>
      </c>
      <c r="G71" t="str" cm="1">
        <f t="array" ref="G71">computeCuspFromLongitudeInSexagesimal($B$45,$B$46,$B$47,$A71,G$52,TRUE)</f>
        <v>176°47'48"</v>
      </c>
      <c r="H71" t="str" cm="1">
        <f t="array" ref="H71">computeCuspFromLongitudeInSexagesimal($B$45,$B$46,$B$47,$A71,H$52,TRUE)</f>
        <v>176°47'48"</v>
      </c>
      <c r="I71" t="str" cm="1">
        <f t="array" ref="I71">computeCuspFromLongitudeInSexagesimal($B$45,$B$46,$B$47,$A71,I$52,TRUE)</f>
        <v>177°46'08"</v>
      </c>
      <c r="J71" t="str" cm="1">
        <f t="array" ref="J71">computeCuspFromLongitudeInSexagesimal($B$45,$B$46,$B$47,$A71,J$52,TRUE)</f>
        <v>177°46'08"</v>
      </c>
    </row>
    <row r="72" spans="1:10" x14ac:dyDescent="0.3">
      <c r="A72" s="15">
        <v>2</v>
      </c>
      <c r="B72" t="str" cm="1">
        <f t="array" ref="B72">RadianToSexagesimal(EclipticToEquator(SexagesimalToRadian($B$45),SexagesimalToRadian(B54)))</f>
        <v>200°50'45"</v>
      </c>
      <c r="D72" t="str" cm="1">
        <f t="array" ref="D72">computeCuspFromLongitudeInSexagesimal($B$45,$B$46,$B$47,$A72,D$52,TRUE)</f>
        <v>200°50'47"</v>
      </c>
      <c r="E72" t="str" cm="1">
        <f t="array" ref="E72">computeCuspFromLongitudeInSexagesimal($B$45,$B$46,$B$47,$A72,E$52,TRUE)</f>
        <v>207°26'41"</v>
      </c>
      <c r="F72" t="str" cm="1">
        <f t="array" ref="F72">computeCuspFromLongitudeInSexagesimal($B$45,$B$46,$B$47,$A72,F$52,TRUE)</f>
        <v>205°24'48"</v>
      </c>
      <c r="G72" t="str" cm="1">
        <f t="array" ref="G72">computeCuspFromLongitudeInSexagesimal($B$45,$B$46,$B$47,$A72,G$52,TRUE)</f>
        <v>216°01'35"</v>
      </c>
      <c r="H72" t="str" cm="1">
        <f t="array" ref="H72">computeCuspFromLongitudeInSexagesimal($B$45,$B$46,$B$47,$A72,H$52,TRUE)</f>
        <v>206°47'48"</v>
      </c>
      <c r="I72" t="str" cm="1">
        <f t="array" ref="I72">computeCuspFromLongitudeInSexagesimal($B$45,$B$46,$B$47,$A72,I$52,TRUE)</f>
        <v>207°46'08"</v>
      </c>
      <c r="J72" t="str" cm="1">
        <f t="array" ref="J72">computeCuspFromLongitudeInSexagesimal($B$45,$B$46,$B$47,$A72,J$52,TRUE)</f>
        <v>205°34'21"</v>
      </c>
    </row>
    <row r="73" spans="1:10" x14ac:dyDescent="0.3">
      <c r="A73" s="15">
        <v>3</v>
      </c>
      <c r="B73" t="str" cm="1">
        <f t="array" ref="B73">RadianToSexagesimal(EclipticToEquator(SexagesimalToRadian($B$45),SexagesimalToRadian(B55)))</f>
        <v>230°15'58"</v>
      </c>
      <c r="D73" t="str" cm="1">
        <f t="array" ref="D73">computeCuspFromLongitudeInSexagesimal($B$45,$B$46,$B$47,$A73,D$52,TRUE)</f>
        <v>230°16'00"</v>
      </c>
      <c r="E73" t="str" cm="1">
        <f t="array" ref="E73">computeCuspFromLongitudeInSexagesimal($B$45,$B$46,$B$47,$A73,E$52,TRUE)</f>
        <v>237°07'15"</v>
      </c>
      <c r="F73" t="str" cm="1">
        <f t="array" ref="F73">computeCuspFromLongitudeInSexagesimal($B$45,$B$46,$B$47,$A73,F$52,TRUE)</f>
        <v>234°55'21"</v>
      </c>
      <c r="G73" t="str" cm="1">
        <f t="array" ref="G73">computeCuspFromLongitudeInSexagesimal($B$45,$B$46,$B$47,$A73,G$52,TRUE)</f>
        <v>244°35'16"</v>
      </c>
      <c r="H73" t="str" cm="1">
        <f t="array" ref="H73">computeCuspFromLongitudeInSexagesimal($B$45,$B$46,$B$47,$A73,H$52,TRUE)</f>
        <v>236°47'48"</v>
      </c>
      <c r="I73" t="str" cm="1">
        <f t="array" ref="I73">computeCuspFromLongitudeInSexagesimal($B$45,$B$46,$B$47,$A73,I$52,TRUE)</f>
        <v>237°46'08"</v>
      </c>
      <c r="J73" t="str" cm="1">
        <f t="array" ref="J73">computeCuspFromLongitudeInSexagesimal($B$45,$B$46,$B$47,$A73,J$52,TRUE)</f>
        <v>235°16'10"</v>
      </c>
    </row>
    <row r="74" spans="1:10" x14ac:dyDescent="0.3">
      <c r="A74" s="15">
        <v>4</v>
      </c>
      <c r="B74" t="str" cm="1">
        <f t="array" ref="B74">RadianToSexagesimal(EclipticToEquator(SexagesimalToRadian($B$45),SexagesimalToRadian(B56)))</f>
        <v>266°47'48"</v>
      </c>
      <c r="D74" t="str" cm="1">
        <f t="array" ref="D74">computeCuspFromLongitudeInSexagesimal($B$45,$B$46,$B$47,$A74,D$52,TRUE)</f>
        <v>266°47'48"</v>
      </c>
      <c r="E74" t="str" cm="1">
        <f t="array" ref="E74">computeCuspFromLongitudeInSexagesimal($B$45,$B$46,$B$47,$A74,E$52,TRUE)</f>
        <v>266°47'48"</v>
      </c>
      <c r="F74" t="str" cm="1">
        <f t="array" ref="F74">computeCuspFromLongitudeInSexagesimal($B$45,$B$46,$B$47,$A74,F$52,TRUE)</f>
        <v>266°47'48"</v>
      </c>
      <c r="G74" t="str" cm="1">
        <f t="array" ref="G74">computeCuspFromLongitudeInSexagesimal($B$45,$B$46,$B$47,$A74,G$52,TRUE)</f>
        <v>266°47'48"</v>
      </c>
      <c r="H74" t="str" cm="1">
        <f t="array" ref="H74">computeCuspFromLongitudeInSexagesimal($B$45,$B$46,$B$47,$A74,H$52,TRUE)</f>
        <v>266°47'48"</v>
      </c>
      <c r="I74" t="str" cm="1">
        <f t="array" ref="I74">computeCuspFromLongitudeInSexagesimal($B$45,$B$46,$B$47,$A74,I$52,TRUE)</f>
        <v>267°46'08"</v>
      </c>
      <c r="J74" t="str" cm="1">
        <f t="array" ref="J74">computeCuspFromLongitudeInSexagesimal($B$45,$B$46,$B$47,$A74,J$52,TRUE)</f>
        <v>267°20'44"</v>
      </c>
    </row>
    <row r="75" spans="1:10" x14ac:dyDescent="0.3">
      <c r="A75" s="15">
        <v>5</v>
      </c>
      <c r="B75" t="str" cm="1">
        <f t="array" ref="B75">RadianToSexagesimal(EclipticToEquator(SexagesimalToRadian($B$45),SexagesimalToRadian(B57)))</f>
        <v>303°52'17"</v>
      </c>
      <c r="D75" t="str" cm="1">
        <f t="array" ref="D75">computeCuspFromLongitudeInSexagesimal($B$45,$B$46,$B$47,$A75,D$52,TRUE)</f>
        <v>303°52'14"</v>
      </c>
      <c r="E75" t="str" cm="1">
        <f t="array" ref="E75">computeCuspFromLongitudeInSexagesimal($B$45,$B$46,$B$47,$A75,E$52,TRUE)</f>
        <v>297°07'15"</v>
      </c>
      <c r="F75" t="str" cm="1">
        <f t="array" ref="F75">computeCuspFromLongitudeInSexagesimal($B$45,$B$46,$B$47,$A75,F$52,TRUE)</f>
        <v>299°18'36"</v>
      </c>
      <c r="G75" t="str" cm="1">
        <f t="array" ref="G75">computeCuspFromLongitudeInSexagesimal($B$45,$B$46,$B$47,$A75,G$52,TRUE)</f>
        <v>289°00'19"</v>
      </c>
      <c r="H75" t="str" cm="1">
        <f t="array" ref="H75">computeCuspFromLongitudeInSexagesimal($B$45,$B$46,$B$47,$A75,H$52,TRUE)</f>
        <v>296°47'48"</v>
      </c>
      <c r="I75" t="str" cm="1">
        <f t="array" ref="I75">computeCuspFromLongitudeInSexagesimal($B$45,$B$46,$B$47,$A75,I$52,TRUE)</f>
        <v>297°46'08"</v>
      </c>
      <c r="J75" t="str" cm="1">
        <f t="array" ref="J75">computeCuspFromLongitudeInSexagesimal($B$45,$B$46,$B$47,$A75,J$52,TRUE)</f>
        <v>299°39'43"</v>
      </c>
    </row>
    <row r="76" spans="1:10" x14ac:dyDescent="0.3">
      <c r="A76" s="15">
        <v>6</v>
      </c>
      <c r="B76" t="str" cm="1">
        <f t="array" ref="B76">RadianToSexagesimal(EclipticToEquator(SexagesimalToRadian($B$45),SexagesimalToRadian(B58)))</f>
        <v>334°06'46"</v>
      </c>
      <c r="D76" t="str" cm="1">
        <f t="array" ref="D76">computeCuspFromLongitudeInSexagesimal($B$45,$B$46,$B$47,$A76,D$52,TRUE)</f>
        <v>334°06'44"</v>
      </c>
      <c r="E76" t="str" cm="1">
        <f t="array" ref="E76">computeCuspFromLongitudeInSexagesimal($B$45,$B$46,$B$47,$A76,E$52,TRUE)</f>
        <v>327°26'41"</v>
      </c>
      <c r="F76" t="str" cm="1">
        <f t="array" ref="F76">computeCuspFromLongitudeInSexagesimal($B$45,$B$46,$B$47,$A76,F$52,TRUE)</f>
        <v>329°37'08"</v>
      </c>
      <c r="G76" t="str" cm="1">
        <f t="array" ref="G76">computeCuspFromLongitudeInSexagesimal($B$45,$B$46,$B$47,$A76,G$52,TRUE)</f>
        <v>317°34'00"</v>
      </c>
      <c r="H76" t="str" cm="1">
        <f t="array" ref="H76">computeCuspFromLongitudeInSexagesimal($B$45,$B$46,$B$47,$A76,H$52,TRUE)</f>
        <v>326°47'48"</v>
      </c>
      <c r="I76" t="str" cm="1">
        <f t="array" ref="I76">computeCuspFromLongitudeInSexagesimal($B$45,$B$46,$B$47,$A76,I$52,TRUE)</f>
        <v>327°46'08"</v>
      </c>
      <c r="J76" t="str" cm="1">
        <f t="array" ref="J76">computeCuspFromLongitudeInSexagesimal($B$45,$B$46,$B$47,$A76,J$52,TRUE)</f>
        <v>329°46'48"</v>
      </c>
    </row>
    <row r="77" spans="1:10" x14ac:dyDescent="0.3">
      <c r="J77" s="20"/>
    </row>
    <row r="78" spans="1:10" x14ac:dyDescent="0.3">
      <c r="J78" s="20"/>
    </row>
    <row r="79" spans="1:10" x14ac:dyDescent="0.3">
      <c r="J79" s="20"/>
    </row>
    <row r="80" spans="1:10" x14ac:dyDescent="0.3">
      <c r="J80" s="20"/>
    </row>
    <row r="81" spans="10:10" x14ac:dyDescent="0.3">
      <c r="J81" s="20"/>
    </row>
    <row r="82" spans="10:10" x14ac:dyDescent="0.3">
      <c r="J82" s="20"/>
    </row>
    <row r="83" spans="10:10" x14ac:dyDescent="0.3">
      <c r="J83" s="20"/>
    </row>
    <row r="84" spans="10:10" x14ac:dyDescent="0.3">
      <c r="J84" s="20"/>
    </row>
    <row r="85" spans="10:10" x14ac:dyDescent="0.3">
      <c r="J85" s="20"/>
    </row>
    <row r="86" spans="10:10" x14ac:dyDescent="0.3">
      <c r="J86" s="20"/>
    </row>
    <row r="87" spans="10:10" x14ac:dyDescent="0.3">
      <c r="J87" s="20"/>
    </row>
    <row r="88" spans="10:10" x14ac:dyDescent="0.3">
      <c r="J88" s="20"/>
    </row>
    <row r="89" spans="10:10" x14ac:dyDescent="0.3">
      <c r="J89" s="20"/>
    </row>
    <row r="90" spans="10:10" x14ac:dyDescent="0.3">
      <c r="J90" s="20"/>
    </row>
    <row r="91" spans="10:10" x14ac:dyDescent="0.3">
      <c r="J91" s="20"/>
    </row>
    <row r="92" spans="10:10" x14ac:dyDescent="0.3">
      <c r="J92" s="20"/>
    </row>
    <row r="93" spans="10:10" x14ac:dyDescent="0.3">
      <c r="J93" s="20"/>
    </row>
    <row r="94" spans="10:10" x14ac:dyDescent="0.3">
      <c r="J94" s="20"/>
    </row>
    <row r="95" spans="10:10" x14ac:dyDescent="0.3">
      <c r="J95" s="20"/>
    </row>
    <row r="96" spans="10:10" x14ac:dyDescent="0.3">
      <c r="J96" s="20"/>
    </row>
    <row r="97" spans="10:10" x14ac:dyDescent="0.3">
      <c r="J97" s="20"/>
    </row>
    <row r="98" spans="10:10" x14ac:dyDescent="0.3">
      <c r="J98" s="20"/>
    </row>
    <row r="99" spans="10:10" x14ac:dyDescent="0.3">
      <c r="J99" s="20"/>
    </row>
    <row r="100" spans="10:10" x14ac:dyDescent="0.3">
      <c r="J100" s="20"/>
    </row>
    <row r="101" spans="10:10" x14ac:dyDescent="0.3">
      <c r="J101" s="20"/>
    </row>
    <row r="102" spans="10:10" x14ac:dyDescent="0.3">
      <c r="J102" s="20"/>
    </row>
    <row r="103" spans="10:10" x14ac:dyDescent="0.3">
      <c r="J103" s="20"/>
    </row>
    <row r="104" spans="10:10" x14ac:dyDescent="0.3">
      <c r="J104" s="20"/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ARRAYS</vt:lpstr>
      <vt:lpstr>METHOD A</vt:lpstr>
      <vt:lpstr>METHOD 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Tur</dc:creator>
  <cp:lastModifiedBy>Alexandre Tur</cp:lastModifiedBy>
  <dcterms:created xsi:type="dcterms:W3CDTF">2025-07-16T07:00:35Z</dcterms:created>
  <dcterms:modified xsi:type="dcterms:W3CDTF">2026-04-26T17:33:25Z</dcterms:modified>
</cp:coreProperties>
</file>